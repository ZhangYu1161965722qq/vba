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\桌面文件-重要\vba\"/>
    </mc:Choice>
  </mc:AlternateContent>
  <xr:revisionPtr revIDLastSave="0" documentId="13_ncr:1_{661556CF-23F0-46C3-98EB-4CE107F5E76D}" xr6:coauthVersionLast="47" xr6:coauthVersionMax="47" xr10:uidLastSave="{00000000-0000-0000-0000-000000000000}"/>
  <bookViews>
    <workbookView xWindow="-108" yWindow="-108" windowWidth="23256" windowHeight="12576" activeTab="2" xr2:uid="{D5335EE5-09F5-4CB5-BF1D-08A1B9867DC6}"/>
  </bookViews>
  <sheets>
    <sheet name="BPC_DATA" sheetId="2" r:id="rId1"/>
    <sheet name="ORACLE_DATA" sheetId="3" r:id="rId2"/>
    <sheet name="ANALYSIS" sheetId="4" r:id="rId3"/>
    <sheet name="RELATION" sheetId="5" r:id="rId4"/>
  </sheet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5" l="1"/>
  <c r="B14" i="5"/>
  <c r="C13" i="5"/>
  <c r="F3" i="5"/>
  <c r="F12" i="5"/>
  <c r="G12" i="5"/>
  <c r="G11" i="5"/>
  <c r="F11" i="5"/>
  <c r="F4" i="5"/>
  <c r="C22" i="5" l="1"/>
  <c r="B22" i="5"/>
  <c r="C15" i="5"/>
  <c r="C14" i="5" s="1"/>
  <c r="B21" i="4"/>
  <c r="B14" i="4"/>
  <c r="B21" i="2"/>
  <c r="B14" i="2"/>
  <c r="F12" i="2"/>
  <c r="F4" i="4"/>
  <c r="F4" i="2"/>
  <c r="G12" i="4"/>
  <c r="C13" i="4"/>
  <c r="F3" i="4"/>
  <c r="C13" i="2"/>
  <c r="F3" i="2"/>
  <c r="F12" i="4"/>
  <c r="G12" i="2"/>
  <c r="G11" i="4"/>
  <c r="G11" i="2"/>
  <c r="F11" i="2"/>
  <c r="F11" i="4"/>
  <c r="F6" i="5"/>
  <c r="F5" i="5"/>
  <c r="B22" i="2" l="1"/>
  <c r="C22" i="2"/>
  <c r="C15" i="2"/>
  <c r="C14" i="2" s="1"/>
  <c r="C22" i="4"/>
  <c r="B22" i="4"/>
  <c r="C15" i="4"/>
  <c r="C14" i="4" s="1"/>
  <c r="F6" i="2"/>
  <c r="F5" i="2"/>
  <c r="F5" i="4"/>
  <c r="F6" i="4"/>
</calcChain>
</file>

<file path=xl/sharedStrings.xml><?xml version="1.0" encoding="utf-8"?>
<sst xmlns="http://schemas.openxmlformats.org/spreadsheetml/2006/main" count="823" uniqueCount="539">
  <si>
    <t>时间替代</t>
    <phoneticPr fontId="2" type="noConversion"/>
  </si>
  <si>
    <t>资产负债表</t>
    <phoneticPr fontId="2" type="noConversion"/>
  </si>
  <si>
    <r>
      <t xml:space="preserve">              </t>
    </r>
    <r>
      <rPr>
        <b/>
        <sz val="9"/>
        <color theme="1"/>
        <rFont val="微软雅黑"/>
        <family val="2"/>
        <charset val="134"/>
      </rPr>
      <t>报告日期：</t>
    </r>
    <phoneticPr fontId="2" type="noConversion"/>
  </si>
  <si>
    <r>
      <t xml:space="preserve">              </t>
    </r>
    <r>
      <rPr>
        <b/>
        <sz val="9"/>
        <rFont val="微软雅黑"/>
        <family val="2"/>
        <charset val="134"/>
      </rPr>
      <t>合并组：</t>
    </r>
    <phoneticPr fontId="2" type="noConversion"/>
  </si>
  <si>
    <r>
      <rPr>
        <b/>
        <sz val="9"/>
        <rFont val="微软雅黑"/>
        <family val="2"/>
        <charset val="134"/>
      </rPr>
      <t>合并实体：</t>
    </r>
    <phoneticPr fontId="2" type="noConversion"/>
  </si>
  <si>
    <r>
      <rPr>
        <b/>
        <sz val="9"/>
        <rFont val="微软雅黑"/>
        <family val="2"/>
        <charset val="134"/>
      </rPr>
      <t>审计线索：</t>
    </r>
    <phoneticPr fontId="2" type="noConversion"/>
  </si>
  <si>
    <t>合并组、实体及审计线索限制</t>
    <phoneticPr fontId="2" type="noConversion"/>
  </si>
  <si>
    <t>项目</t>
    <phoneticPr fontId="2" type="noConversion"/>
  </si>
  <si>
    <t>行次</t>
    <phoneticPr fontId="2" type="noConversion"/>
  </si>
  <si>
    <t>年初数</t>
    <phoneticPr fontId="2" type="noConversion"/>
  </si>
  <si>
    <t>期末数</t>
    <phoneticPr fontId="2" type="noConversion"/>
  </si>
  <si>
    <t>ID=LC_GRP</t>
    <phoneticPr fontId="2" type="noConversion"/>
  </si>
  <si>
    <t>ID=LC_STD</t>
    <phoneticPr fontId="2" type="noConversion"/>
  </si>
  <si>
    <t>ID=LC_ADT</t>
    <phoneticPr fontId="2" type="noConversion"/>
  </si>
  <si>
    <t>ID=INPUT_GL</t>
    <phoneticPr fontId="2" type="noConversion"/>
  </si>
  <si>
    <t>ID=L_CON</t>
    <phoneticPr fontId="2" type="noConversion"/>
  </si>
  <si>
    <t>ID=P_CON</t>
    <phoneticPr fontId="2" type="noConversion"/>
  </si>
  <si>
    <t>ID=G_CON</t>
    <phoneticPr fontId="2" type="noConversion"/>
  </si>
  <si>
    <t>ID=R_L_CON_DFL</t>
    <phoneticPr fontId="2" type="noConversion"/>
  </si>
  <si>
    <t>ID=R_P_CON_DFL</t>
    <phoneticPr fontId="2" type="noConversion"/>
  </si>
  <si>
    <t>ID=R_G_CON_DFL</t>
    <phoneticPr fontId="2" type="noConversion"/>
  </si>
  <si>
    <t>项 目</t>
  </si>
  <si>
    <t>行次</t>
  </si>
  <si>
    <t>年初数</t>
  </si>
  <si>
    <t>期末数</t>
  </si>
  <si>
    <t>流动资产：</t>
    <phoneticPr fontId="20" type="noConversion"/>
  </si>
  <si>
    <t xml:space="preserve">        货币资金</t>
    <phoneticPr fontId="20" type="noConversion"/>
  </si>
  <si>
    <t xml:space="preserve">      △结算备付金</t>
    <phoneticPr fontId="20" type="noConversion"/>
  </si>
  <si>
    <t xml:space="preserve">      △拆出资金</t>
    <phoneticPr fontId="20" type="noConversion"/>
  </si>
  <si>
    <t xml:space="preserve">        交易性金融资产</t>
    <phoneticPr fontId="20" type="noConversion"/>
  </si>
  <si>
    <t xml:space="preserve">        应收票据</t>
    <phoneticPr fontId="20" type="noConversion"/>
  </si>
  <si>
    <t xml:space="preserve">        应收账款</t>
    <phoneticPr fontId="20" type="noConversion"/>
  </si>
  <si>
    <t xml:space="preserve">        预付款项</t>
    <phoneticPr fontId="20" type="noConversion"/>
  </si>
  <si>
    <t xml:space="preserve">      △应收保费</t>
    <phoneticPr fontId="20" type="noConversion"/>
  </si>
  <si>
    <t xml:space="preserve">      △应收分保账款</t>
    <phoneticPr fontId="20" type="noConversion"/>
  </si>
  <si>
    <t xml:space="preserve">      △应收分保合同准备金</t>
    <phoneticPr fontId="20" type="noConversion"/>
  </si>
  <si>
    <t xml:space="preserve">        应收利息</t>
    <phoneticPr fontId="20" type="noConversion"/>
  </si>
  <si>
    <t xml:space="preserve">        应收股利</t>
    <phoneticPr fontId="20" type="noConversion"/>
  </si>
  <si>
    <t xml:space="preserve">        其他应收款</t>
    <phoneticPr fontId="20" type="noConversion"/>
  </si>
  <si>
    <t xml:space="preserve">      △买入返售金融资产</t>
    <phoneticPr fontId="20" type="noConversion"/>
  </si>
  <si>
    <t xml:space="preserve">        存货</t>
    <phoneticPr fontId="20" type="noConversion"/>
  </si>
  <si>
    <t xml:space="preserve">           其中：原材料</t>
    <phoneticPr fontId="20" type="noConversion"/>
  </si>
  <si>
    <t xml:space="preserve">                库存商品(产成品)</t>
    <phoneticPr fontId="20" type="noConversion"/>
  </si>
  <si>
    <t xml:space="preserve">        合同资产</t>
    <phoneticPr fontId="20" type="noConversion"/>
  </si>
  <si>
    <t xml:space="preserve">        划分为持有待售的资产</t>
    <phoneticPr fontId="20" type="noConversion"/>
  </si>
  <si>
    <t xml:space="preserve">        一年内到期的非流动资产</t>
    <phoneticPr fontId="20" type="noConversion"/>
  </si>
  <si>
    <t/>
  </si>
  <si>
    <t xml:space="preserve">        其他流动资产</t>
    <phoneticPr fontId="20" type="noConversion"/>
  </si>
  <si>
    <t xml:space="preserve">        受限制现金</t>
    <phoneticPr fontId="20" type="noConversion"/>
  </si>
  <si>
    <t xml:space="preserve">        应收款项-合营方</t>
    <phoneticPr fontId="20" type="noConversion"/>
  </si>
  <si>
    <t>流动资产合计</t>
    <phoneticPr fontId="20" type="noConversion"/>
  </si>
  <si>
    <t>非流动资产：</t>
    <phoneticPr fontId="20" type="noConversion"/>
  </si>
  <si>
    <t xml:space="preserve">      △发放贷款及垫款</t>
    <phoneticPr fontId="20" type="noConversion"/>
  </si>
  <si>
    <t xml:space="preserve">        债权投资</t>
    <phoneticPr fontId="20" type="noConversion"/>
  </si>
  <si>
    <t xml:space="preserve">        其他债权投资</t>
    <phoneticPr fontId="20" type="noConversion"/>
  </si>
  <si>
    <t xml:space="preserve">        长期应收款</t>
    <phoneticPr fontId="20" type="noConversion"/>
  </si>
  <si>
    <t xml:space="preserve">        长期股权投资</t>
    <phoneticPr fontId="20" type="noConversion"/>
  </si>
  <si>
    <t xml:space="preserve">        其他权益工具投资</t>
    <phoneticPr fontId="20" type="noConversion"/>
  </si>
  <si>
    <t xml:space="preserve">        投资性房地产</t>
    <phoneticPr fontId="20" type="noConversion"/>
  </si>
  <si>
    <t xml:space="preserve">        固定资产原价</t>
    <phoneticPr fontId="20" type="noConversion"/>
  </si>
  <si>
    <t xml:space="preserve">            减：累计折旧</t>
    <phoneticPr fontId="20" type="noConversion"/>
  </si>
  <si>
    <t xml:space="preserve">        固定资产净值</t>
    <phoneticPr fontId="20" type="noConversion"/>
  </si>
  <si>
    <t xml:space="preserve">            减：固定资产减值准备</t>
    <phoneticPr fontId="20" type="noConversion"/>
  </si>
  <si>
    <t xml:space="preserve">        固定资产净额</t>
    <phoneticPr fontId="20" type="noConversion"/>
  </si>
  <si>
    <t xml:space="preserve">        在建工程</t>
    <phoneticPr fontId="20" type="noConversion"/>
  </si>
  <si>
    <t xml:space="preserve">        固定资产清理</t>
    <phoneticPr fontId="20" type="noConversion"/>
  </si>
  <si>
    <t xml:space="preserve">        无形资产</t>
    <phoneticPr fontId="20" type="noConversion"/>
  </si>
  <si>
    <t xml:space="preserve">        开发支出</t>
    <phoneticPr fontId="20" type="noConversion"/>
  </si>
  <si>
    <t xml:space="preserve">        商誉</t>
    <phoneticPr fontId="20" type="noConversion"/>
  </si>
  <si>
    <t xml:space="preserve">        长期待摊费用</t>
    <phoneticPr fontId="20" type="noConversion"/>
  </si>
  <si>
    <t xml:space="preserve">        递延所得税资产</t>
    <phoneticPr fontId="20" type="noConversion"/>
  </si>
  <si>
    <t xml:space="preserve">        其他非流动资产</t>
    <phoneticPr fontId="20" type="noConversion"/>
  </si>
  <si>
    <t xml:space="preserve">    于联营公司的投资</t>
    <phoneticPr fontId="20" type="noConversion"/>
  </si>
  <si>
    <t xml:space="preserve">    预付租金</t>
    <phoneticPr fontId="20" type="noConversion"/>
  </si>
  <si>
    <t xml:space="preserve">      ☆可供出售金融资产</t>
    <phoneticPr fontId="20" type="noConversion"/>
  </si>
  <si>
    <t>非流动资产合计</t>
    <phoneticPr fontId="20" type="noConversion"/>
  </si>
  <si>
    <t xml:space="preserve">                     资产总计</t>
    <phoneticPr fontId="20" type="noConversion"/>
  </si>
  <si>
    <t>流动负债：</t>
    <phoneticPr fontId="20" type="noConversion"/>
  </si>
  <si>
    <t xml:space="preserve">        短期借款</t>
    <phoneticPr fontId="20" type="noConversion"/>
  </si>
  <si>
    <t xml:space="preserve">      △向中央银行借款</t>
    <phoneticPr fontId="20" type="noConversion"/>
  </si>
  <si>
    <t xml:space="preserve">      △吸收存款及同业存放</t>
    <phoneticPr fontId="20" type="noConversion"/>
  </si>
  <si>
    <t xml:space="preserve">      △拆入资金</t>
    <phoneticPr fontId="20" type="noConversion"/>
  </si>
  <si>
    <t xml:space="preserve">        交易性金融负债</t>
    <phoneticPr fontId="20" type="noConversion"/>
  </si>
  <si>
    <t xml:space="preserve">        应付票据</t>
    <phoneticPr fontId="20" type="noConversion"/>
  </si>
  <si>
    <t xml:space="preserve">        应付账款</t>
    <phoneticPr fontId="20" type="noConversion"/>
  </si>
  <si>
    <t xml:space="preserve">        预收款项</t>
    <phoneticPr fontId="20" type="noConversion"/>
  </si>
  <si>
    <t xml:space="preserve">        合同负债</t>
    <phoneticPr fontId="20" type="noConversion"/>
  </si>
  <si>
    <t xml:space="preserve">      △卖出回购金融资产款</t>
    <phoneticPr fontId="20" type="noConversion"/>
  </si>
  <si>
    <t xml:space="preserve">      △应付手续费及佣金</t>
    <phoneticPr fontId="20" type="noConversion"/>
  </si>
  <si>
    <t xml:space="preserve">        应付职工薪酬</t>
    <phoneticPr fontId="20" type="noConversion"/>
  </si>
  <si>
    <t xml:space="preserve">            其中：应付工资</t>
    <phoneticPr fontId="20" type="noConversion"/>
  </si>
  <si>
    <t xml:space="preserve">                  应付福利费</t>
    <phoneticPr fontId="20" type="noConversion"/>
  </si>
  <si>
    <t xml:space="preserve">                     #其中：职工奖励及福利基金</t>
    <phoneticPr fontId="20" type="noConversion"/>
  </si>
  <si>
    <t xml:space="preserve">        应交税费</t>
    <phoneticPr fontId="20" type="noConversion"/>
  </si>
  <si>
    <t xml:space="preserve">            其中：应交税金</t>
    <phoneticPr fontId="20" type="noConversion"/>
  </si>
  <si>
    <t xml:space="preserve">        应付利息</t>
    <phoneticPr fontId="20" type="noConversion"/>
  </si>
  <si>
    <t xml:space="preserve">        应付股利</t>
    <phoneticPr fontId="20" type="noConversion"/>
  </si>
  <si>
    <t xml:space="preserve">        其他应付款</t>
    <phoneticPr fontId="20" type="noConversion"/>
  </si>
  <si>
    <t xml:space="preserve">      △应付分保账款</t>
    <phoneticPr fontId="20" type="noConversion"/>
  </si>
  <si>
    <t xml:space="preserve">      △保险合同准备金</t>
    <phoneticPr fontId="20" type="noConversion"/>
  </si>
  <si>
    <t xml:space="preserve">      △代理买卖证券款</t>
    <phoneticPr fontId="20" type="noConversion"/>
  </si>
  <si>
    <t xml:space="preserve">      △代理承销证券款</t>
    <phoneticPr fontId="20" type="noConversion"/>
  </si>
  <si>
    <t xml:space="preserve">        划分为持有待售的负债</t>
    <phoneticPr fontId="20" type="noConversion"/>
  </si>
  <si>
    <t xml:space="preserve">        一年内到期的非流动负债</t>
    <phoneticPr fontId="20" type="noConversion"/>
  </si>
  <si>
    <t xml:space="preserve">        其他流动负债</t>
    <phoneticPr fontId="20" type="noConversion"/>
  </si>
  <si>
    <t xml:space="preserve">        应付款项-合营方</t>
    <phoneticPr fontId="20" type="noConversion"/>
  </si>
  <si>
    <t>流动负债合计</t>
    <phoneticPr fontId="20" type="noConversion"/>
  </si>
  <si>
    <t>非流动负债：</t>
    <phoneticPr fontId="20" type="noConversion"/>
  </si>
  <si>
    <t xml:space="preserve">        长期借款</t>
    <phoneticPr fontId="20" type="noConversion"/>
  </si>
  <si>
    <t xml:space="preserve">        应付债券</t>
    <phoneticPr fontId="20" type="noConversion"/>
  </si>
  <si>
    <t xml:space="preserve">        长期应付款</t>
    <phoneticPr fontId="20" type="noConversion"/>
  </si>
  <si>
    <t xml:space="preserve">        长期应付职工薪酬</t>
    <phoneticPr fontId="20" type="noConversion"/>
  </si>
  <si>
    <t xml:space="preserve">        专项应付款</t>
    <phoneticPr fontId="20" type="noConversion"/>
  </si>
  <si>
    <t xml:space="preserve">        预计负债</t>
    <phoneticPr fontId="20" type="noConversion"/>
  </si>
  <si>
    <t xml:space="preserve">        递延收益</t>
    <phoneticPr fontId="20" type="noConversion"/>
  </si>
  <si>
    <t xml:space="preserve">        递延所得税负债</t>
    <phoneticPr fontId="20" type="noConversion"/>
  </si>
  <si>
    <t xml:space="preserve">        其他非流动负债</t>
    <phoneticPr fontId="20" type="noConversion"/>
  </si>
  <si>
    <t>非流动负债合计</t>
    <phoneticPr fontId="20" type="noConversion"/>
  </si>
  <si>
    <t>负 债 合 计</t>
    <phoneticPr fontId="20" type="noConversion"/>
  </si>
  <si>
    <t>所有者权益（或股东权益）：</t>
    <phoneticPr fontId="20" type="noConversion"/>
  </si>
  <si>
    <t xml:space="preserve">        实收资本（股本）</t>
    <phoneticPr fontId="20" type="noConversion"/>
  </si>
  <si>
    <t xml:space="preserve">            国家资本</t>
    <phoneticPr fontId="20" type="noConversion"/>
  </si>
  <si>
    <t xml:space="preserve">                其中：国有法人资本</t>
    <phoneticPr fontId="20" type="noConversion"/>
  </si>
  <si>
    <t xml:space="preserve">            集体资本</t>
    <phoneticPr fontId="20" type="noConversion"/>
  </si>
  <si>
    <t xml:space="preserve">            私营资本</t>
    <phoneticPr fontId="20" type="noConversion"/>
  </si>
  <si>
    <t xml:space="preserve">                其中：个人资本</t>
    <phoneticPr fontId="20" type="noConversion"/>
  </si>
  <si>
    <t xml:space="preserve">            外商资本</t>
    <phoneticPr fontId="20" type="noConversion"/>
  </si>
  <si>
    <t xml:space="preserve">       #减：已归还投资</t>
    <phoneticPr fontId="20" type="noConversion"/>
  </si>
  <si>
    <t xml:space="preserve">        实收资本（或股本）净额</t>
    <phoneticPr fontId="20" type="noConversion"/>
  </si>
  <si>
    <t xml:space="preserve">        资本公积</t>
    <phoneticPr fontId="20" type="noConversion"/>
  </si>
  <si>
    <t xml:space="preserve">        减：库存股</t>
    <phoneticPr fontId="20" type="noConversion"/>
  </si>
  <si>
    <t xml:space="preserve">        其他综合收益</t>
    <phoneticPr fontId="20" type="noConversion"/>
  </si>
  <si>
    <t xml:space="preserve">            其中：外币折算差额</t>
    <phoneticPr fontId="20" type="noConversion"/>
  </si>
  <si>
    <t xml:space="preserve">        专项储备</t>
    <phoneticPr fontId="20" type="noConversion"/>
  </si>
  <si>
    <t xml:space="preserve">        盈余公积</t>
    <phoneticPr fontId="20" type="noConversion"/>
  </si>
  <si>
    <t xml:space="preserve">            其中：法定公积金</t>
    <phoneticPr fontId="20" type="noConversion"/>
  </si>
  <si>
    <t xml:space="preserve">                  任意公积金</t>
    <phoneticPr fontId="20" type="noConversion"/>
  </si>
  <si>
    <t xml:space="preserve">                 #储备基金</t>
    <phoneticPr fontId="20" type="noConversion"/>
  </si>
  <si>
    <t xml:space="preserve">                 #企业发展基金</t>
    <phoneticPr fontId="20" type="noConversion"/>
  </si>
  <si>
    <t xml:space="preserve">                 #利润归还投资</t>
    <phoneticPr fontId="20" type="noConversion"/>
  </si>
  <si>
    <t xml:space="preserve">      △一般风险准备</t>
    <phoneticPr fontId="20" type="noConversion"/>
  </si>
  <si>
    <t xml:space="preserve">        未分配利润</t>
    <phoneticPr fontId="20" type="noConversion"/>
  </si>
  <si>
    <t>归属于母公司所有者权益合计</t>
    <phoneticPr fontId="20" type="noConversion"/>
  </si>
  <si>
    <t xml:space="preserve">      *少数股东权益</t>
    <phoneticPr fontId="20" type="noConversion"/>
  </si>
  <si>
    <t>所有者权益合计</t>
    <phoneticPr fontId="20" type="noConversion"/>
  </si>
  <si>
    <t>负债和所有者权益总计</t>
    <phoneticPr fontId="20" type="noConversion"/>
  </si>
  <si>
    <t>资产负债表</t>
    <phoneticPr fontId="2" type="noConversion"/>
  </si>
  <si>
    <r>
      <t xml:space="preserve">              </t>
    </r>
    <r>
      <rPr>
        <b/>
        <sz val="9"/>
        <color theme="1"/>
        <rFont val="微软雅黑"/>
        <family val="2"/>
        <charset val="134"/>
      </rPr>
      <t>报告日期：</t>
    </r>
    <phoneticPr fontId="2" type="noConversion"/>
  </si>
  <si>
    <t>项目</t>
    <phoneticPr fontId="2" type="noConversion"/>
  </si>
  <si>
    <t>行次</t>
    <phoneticPr fontId="2" type="noConversion"/>
  </si>
  <si>
    <t>ID=R_L_CON_DFL</t>
    <phoneticPr fontId="2" type="noConversion"/>
  </si>
  <si>
    <t>ID=R_P_CON_DFL</t>
    <phoneticPr fontId="2" type="noConversion"/>
  </si>
  <si>
    <t>时间替代</t>
    <phoneticPr fontId="2" type="noConversion"/>
  </si>
  <si>
    <r>
      <t xml:space="preserve">              </t>
    </r>
    <r>
      <rPr>
        <b/>
        <sz val="9"/>
        <color theme="1"/>
        <rFont val="微软雅黑"/>
        <family val="2"/>
        <charset val="134"/>
      </rPr>
      <t>报告日期：</t>
    </r>
    <phoneticPr fontId="2" type="noConversion"/>
  </si>
  <si>
    <r>
      <t xml:space="preserve">              </t>
    </r>
    <r>
      <rPr>
        <b/>
        <sz val="9"/>
        <rFont val="微软雅黑"/>
        <family val="2"/>
        <charset val="134"/>
      </rPr>
      <t>合并组：</t>
    </r>
    <phoneticPr fontId="2" type="noConversion"/>
  </si>
  <si>
    <r>
      <rPr>
        <b/>
        <sz val="9"/>
        <rFont val="微软雅黑"/>
        <family val="2"/>
        <charset val="134"/>
      </rPr>
      <t>合并实体：</t>
    </r>
    <phoneticPr fontId="2" type="noConversion"/>
  </si>
  <si>
    <r>
      <rPr>
        <b/>
        <sz val="9"/>
        <rFont val="微软雅黑"/>
        <family val="2"/>
        <charset val="134"/>
      </rPr>
      <t>审计线索：</t>
    </r>
    <phoneticPr fontId="2" type="noConversion"/>
  </si>
  <si>
    <t>合并组、实体及审计线索限制</t>
    <phoneticPr fontId="2" type="noConversion"/>
  </si>
  <si>
    <t>项目</t>
    <phoneticPr fontId="2" type="noConversion"/>
  </si>
  <si>
    <t>行次</t>
    <phoneticPr fontId="2" type="noConversion"/>
  </si>
  <si>
    <t>年初数</t>
    <phoneticPr fontId="2" type="noConversion"/>
  </si>
  <si>
    <t>期末数</t>
    <phoneticPr fontId="2" type="noConversion"/>
  </si>
  <si>
    <t>ID=LC_GRP</t>
    <phoneticPr fontId="2" type="noConversion"/>
  </si>
  <si>
    <t>ID=LC_STD</t>
    <phoneticPr fontId="2" type="noConversion"/>
  </si>
  <si>
    <t>ID=LC_ADT</t>
    <phoneticPr fontId="2" type="noConversion"/>
  </si>
  <si>
    <t>项目</t>
    <phoneticPr fontId="2" type="noConversion"/>
  </si>
  <si>
    <t>ID=INPUT_GL</t>
    <phoneticPr fontId="2" type="noConversion"/>
  </si>
  <si>
    <t>$C$2</t>
    <phoneticPr fontId="2" type="noConversion"/>
  </si>
  <si>
    <t>$D$2</t>
  </si>
  <si>
    <t>$C$3</t>
    <phoneticPr fontId="2" type="noConversion"/>
  </si>
  <si>
    <t>$D$3</t>
  </si>
  <si>
    <t>ID=L_CON</t>
    <phoneticPr fontId="2" type="noConversion"/>
  </si>
  <si>
    <t>$C$4</t>
    <phoneticPr fontId="2" type="noConversion"/>
  </si>
  <si>
    <t>$D$4</t>
    <phoneticPr fontId="2" type="noConversion"/>
  </si>
  <si>
    <t>$C$5</t>
    <phoneticPr fontId="2" type="noConversion"/>
  </si>
  <si>
    <t>$D$5</t>
    <phoneticPr fontId="2" type="noConversion"/>
  </si>
  <si>
    <t>ID=G_CON</t>
    <phoneticPr fontId="2" type="noConversion"/>
  </si>
  <si>
    <t>$C$6</t>
    <phoneticPr fontId="2" type="noConversion"/>
  </si>
  <si>
    <t>$D$6</t>
  </si>
  <si>
    <t>$C$7</t>
    <phoneticPr fontId="2" type="noConversion"/>
  </si>
  <si>
    <t>$D$7</t>
  </si>
  <si>
    <t>$C$8</t>
    <phoneticPr fontId="2" type="noConversion"/>
  </si>
  <si>
    <t>$D$8</t>
  </si>
  <si>
    <t>ID=R_G_CON_DFL</t>
    <phoneticPr fontId="2" type="noConversion"/>
  </si>
  <si>
    <t>$C$9</t>
    <phoneticPr fontId="2" type="noConversion"/>
  </si>
  <si>
    <t>$D$9</t>
  </si>
  <si>
    <t>$C$10</t>
    <phoneticPr fontId="2" type="noConversion"/>
  </si>
  <si>
    <t>$D$10</t>
  </si>
  <si>
    <t>$C$11</t>
    <phoneticPr fontId="2" type="noConversion"/>
  </si>
  <si>
    <t>$D$11</t>
  </si>
  <si>
    <t>$C$12</t>
    <phoneticPr fontId="2" type="noConversion"/>
  </si>
  <si>
    <t>$D$12</t>
  </si>
  <si>
    <t>$C$13</t>
    <phoneticPr fontId="2" type="noConversion"/>
  </si>
  <si>
    <t>$D$13</t>
  </si>
  <si>
    <t>$C$14</t>
    <phoneticPr fontId="2" type="noConversion"/>
  </si>
  <si>
    <t>$D$14</t>
  </si>
  <si>
    <t>$C$15</t>
    <phoneticPr fontId="2" type="noConversion"/>
  </si>
  <si>
    <t>$D$15</t>
  </si>
  <si>
    <t>$C$16</t>
    <phoneticPr fontId="2" type="noConversion"/>
  </si>
  <si>
    <t>$D$16</t>
  </si>
  <si>
    <t>$C$17</t>
    <phoneticPr fontId="2" type="noConversion"/>
  </si>
  <si>
    <t>$D$17</t>
  </si>
  <si>
    <t>$C$18</t>
    <phoneticPr fontId="2" type="noConversion"/>
  </si>
  <si>
    <t>$D$18</t>
  </si>
  <si>
    <t>$C$19</t>
    <phoneticPr fontId="2" type="noConversion"/>
  </si>
  <si>
    <t>$D$19</t>
  </si>
  <si>
    <t>$C$20</t>
    <phoneticPr fontId="2" type="noConversion"/>
  </si>
  <si>
    <t>$D$20</t>
  </si>
  <si>
    <t>$C$21</t>
    <phoneticPr fontId="2" type="noConversion"/>
  </si>
  <si>
    <t>$D$21</t>
  </si>
  <si>
    <t>$C$22</t>
    <phoneticPr fontId="2" type="noConversion"/>
  </si>
  <si>
    <t>$D$22</t>
  </si>
  <si>
    <t>$C$23</t>
    <phoneticPr fontId="2" type="noConversion"/>
  </si>
  <si>
    <t>$D$23</t>
  </si>
  <si>
    <t>$C$24</t>
    <phoneticPr fontId="2" type="noConversion"/>
  </si>
  <si>
    <t>$D$24</t>
  </si>
  <si>
    <t>$C$25</t>
    <phoneticPr fontId="2" type="noConversion"/>
  </si>
  <si>
    <t>$D$25</t>
  </si>
  <si>
    <t>$C$27</t>
    <phoneticPr fontId="2" type="noConversion"/>
  </si>
  <si>
    <t>$D$27</t>
  </si>
  <si>
    <t>$C$28</t>
    <phoneticPr fontId="2" type="noConversion"/>
  </si>
  <si>
    <t>$D$28</t>
  </si>
  <si>
    <t>$C$29</t>
    <phoneticPr fontId="2" type="noConversion"/>
  </si>
  <si>
    <t>$D$29</t>
  </si>
  <si>
    <t>$C$30</t>
    <phoneticPr fontId="2" type="noConversion"/>
  </si>
  <si>
    <t>$D$30</t>
  </si>
  <si>
    <t>$C$31</t>
    <phoneticPr fontId="2" type="noConversion"/>
  </si>
  <si>
    <t>$D$31</t>
  </si>
  <si>
    <t>$C$32</t>
    <phoneticPr fontId="2" type="noConversion"/>
  </si>
  <si>
    <t>$D$32</t>
  </si>
  <si>
    <t>$C$33</t>
    <phoneticPr fontId="2" type="noConversion"/>
  </si>
  <si>
    <t>$D$33</t>
  </si>
  <si>
    <t>$C$34</t>
    <phoneticPr fontId="2" type="noConversion"/>
  </si>
  <si>
    <t>$D$34</t>
  </si>
  <si>
    <t>$C$35</t>
    <phoneticPr fontId="2" type="noConversion"/>
  </si>
  <si>
    <t>$D$35</t>
  </si>
  <si>
    <t>$C$36</t>
    <phoneticPr fontId="2" type="noConversion"/>
  </si>
  <si>
    <t>$D$36</t>
  </si>
  <si>
    <t>$C$37</t>
    <phoneticPr fontId="2" type="noConversion"/>
  </si>
  <si>
    <t>$D$37</t>
  </si>
  <si>
    <t>$C$38</t>
    <phoneticPr fontId="2" type="noConversion"/>
  </si>
  <si>
    <t>$D$38</t>
  </si>
  <si>
    <t>$C$39</t>
    <phoneticPr fontId="2" type="noConversion"/>
  </si>
  <si>
    <t>$D$39</t>
  </si>
  <si>
    <t>$C$40</t>
    <phoneticPr fontId="2" type="noConversion"/>
  </si>
  <si>
    <t>$D$40</t>
  </si>
  <si>
    <t>$C$41</t>
    <phoneticPr fontId="2" type="noConversion"/>
  </si>
  <si>
    <t>$D$41</t>
  </si>
  <si>
    <t>$C$42</t>
    <phoneticPr fontId="2" type="noConversion"/>
  </si>
  <si>
    <t>$D$42</t>
  </si>
  <si>
    <t>$C$43</t>
    <phoneticPr fontId="2" type="noConversion"/>
  </si>
  <si>
    <t>$D$43</t>
  </si>
  <si>
    <t>$C$44</t>
    <phoneticPr fontId="2" type="noConversion"/>
  </si>
  <si>
    <t>$D$44</t>
  </si>
  <si>
    <t>$C$45</t>
    <phoneticPr fontId="2" type="noConversion"/>
  </si>
  <si>
    <t>$D$45</t>
  </si>
  <si>
    <t>$C$46</t>
    <phoneticPr fontId="2" type="noConversion"/>
  </si>
  <si>
    <t>$D$46</t>
  </si>
  <si>
    <t>$C$47</t>
    <phoneticPr fontId="2" type="noConversion"/>
  </si>
  <si>
    <t>$D$47</t>
  </si>
  <si>
    <t>$C$48</t>
    <phoneticPr fontId="2" type="noConversion"/>
  </si>
  <si>
    <t>$D$48</t>
  </si>
  <si>
    <t>$C$49</t>
    <phoneticPr fontId="2" type="noConversion"/>
  </si>
  <si>
    <t>$D$49</t>
  </si>
  <si>
    <t>$C$50</t>
    <phoneticPr fontId="2" type="noConversion"/>
  </si>
  <si>
    <t>$D$50</t>
  </si>
  <si>
    <t>$C$51</t>
    <phoneticPr fontId="2" type="noConversion"/>
  </si>
  <si>
    <t>$D$51</t>
  </si>
  <si>
    <t>$C$52</t>
    <phoneticPr fontId="2" type="noConversion"/>
  </si>
  <si>
    <t>$D$52</t>
  </si>
  <si>
    <t>$C$53</t>
    <phoneticPr fontId="2" type="noConversion"/>
  </si>
  <si>
    <t>$D$53</t>
  </si>
  <si>
    <t>$C$54</t>
    <phoneticPr fontId="2" type="noConversion"/>
  </si>
  <si>
    <t>$D$54</t>
  </si>
  <si>
    <t>$C$55</t>
    <phoneticPr fontId="2" type="noConversion"/>
  </si>
  <si>
    <t>$D$55</t>
  </si>
  <si>
    <t>$C$56</t>
    <phoneticPr fontId="2" type="noConversion"/>
  </si>
  <si>
    <t>$D$56</t>
  </si>
  <si>
    <t>$C$57</t>
    <phoneticPr fontId="2" type="noConversion"/>
  </si>
  <si>
    <t>$D$57</t>
  </si>
  <si>
    <t>$C$58</t>
    <phoneticPr fontId="2" type="noConversion"/>
  </si>
  <si>
    <t>$D$58</t>
  </si>
  <si>
    <t>$C$59</t>
    <phoneticPr fontId="2" type="noConversion"/>
  </si>
  <si>
    <t>$D$59</t>
  </si>
  <si>
    <t>$C$60</t>
    <phoneticPr fontId="2" type="noConversion"/>
  </si>
  <si>
    <t>$D$60</t>
  </si>
  <si>
    <t>$C$61</t>
    <phoneticPr fontId="2" type="noConversion"/>
  </si>
  <si>
    <t>$D$61</t>
  </si>
  <si>
    <t>$C$62</t>
    <phoneticPr fontId="2" type="noConversion"/>
  </si>
  <si>
    <t>$D$62</t>
  </si>
  <si>
    <t>$C$63</t>
    <phoneticPr fontId="2" type="noConversion"/>
  </si>
  <si>
    <t>$D$63</t>
  </si>
  <si>
    <t>$C$64</t>
    <phoneticPr fontId="2" type="noConversion"/>
  </si>
  <si>
    <t>$D$64</t>
  </si>
  <si>
    <t>$C$65</t>
    <phoneticPr fontId="2" type="noConversion"/>
  </si>
  <si>
    <t>$D$65</t>
  </si>
  <si>
    <t>$C$66</t>
    <phoneticPr fontId="2" type="noConversion"/>
  </si>
  <si>
    <t>$D$66</t>
  </si>
  <si>
    <t>$C$67</t>
    <phoneticPr fontId="2" type="noConversion"/>
  </si>
  <si>
    <t>$D$67</t>
  </si>
  <si>
    <t>$C$68</t>
    <phoneticPr fontId="2" type="noConversion"/>
  </si>
  <si>
    <t>$D$68</t>
  </si>
  <si>
    <t>$C$69</t>
    <phoneticPr fontId="2" type="noConversion"/>
  </si>
  <si>
    <t>$D$69</t>
  </si>
  <si>
    <t>$C$70</t>
    <phoneticPr fontId="2" type="noConversion"/>
  </si>
  <si>
    <t>$D$70</t>
  </si>
  <si>
    <t>$C$71</t>
    <phoneticPr fontId="2" type="noConversion"/>
  </si>
  <si>
    <t>$D$71</t>
  </si>
  <si>
    <t>$C$72</t>
    <phoneticPr fontId="2" type="noConversion"/>
  </si>
  <si>
    <t>$D$72</t>
  </si>
  <si>
    <t>$C$73</t>
    <phoneticPr fontId="2" type="noConversion"/>
  </si>
  <si>
    <t>$D$73</t>
  </si>
  <si>
    <t>$C$74</t>
    <phoneticPr fontId="2" type="noConversion"/>
  </si>
  <si>
    <t>$D$74</t>
  </si>
  <si>
    <t>$C$75</t>
    <phoneticPr fontId="2" type="noConversion"/>
  </si>
  <si>
    <t>$D$75</t>
  </si>
  <si>
    <t>$C$76</t>
    <phoneticPr fontId="2" type="noConversion"/>
  </si>
  <si>
    <t>$D$76</t>
  </si>
  <si>
    <t>$C$77</t>
    <phoneticPr fontId="2" type="noConversion"/>
  </si>
  <si>
    <t>$D$77</t>
  </si>
  <si>
    <t>$C$78</t>
    <phoneticPr fontId="2" type="noConversion"/>
  </si>
  <si>
    <t>$D$78</t>
  </si>
  <si>
    <t>$C$79</t>
    <phoneticPr fontId="2" type="noConversion"/>
  </si>
  <si>
    <t>$D$79</t>
  </si>
  <si>
    <t>$C$80</t>
    <phoneticPr fontId="2" type="noConversion"/>
  </si>
  <si>
    <t>$D$80</t>
  </si>
  <si>
    <t>$C$81</t>
    <phoneticPr fontId="2" type="noConversion"/>
  </si>
  <si>
    <t>$D$81</t>
  </si>
  <si>
    <t>$C$82</t>
    <phoneticPr fontId="2" type="noConversion"/>
  </si>
  <si>
    <t>$D$82</t>
  </si>
  <si>
    <t>$C$84</t>
    <phoneticPr fontId="2" type="noConversion"/>
  </si>
  <si>
    <t>$D$84</t>
  </si>
  <si>
    <t>$C$85</t>
    <phoneticPr fontId="2" type="noConversion"/>
  </si>
  <si>
    <t>$D$85</t>
  </si>
  <si>
    <t>$C$86</t>
    <phoneticPr fontId="2" type="noConversion"/>
  </si>
  <si>
    <t>$D$86</t>
  </si>
  <si>
    <t>$C$87</t>
    <phoneticPr fontId="2" type="noConversion"/>
  </si>
  <si>
    <t>$D$87</t>
  </si>
  <si>
    <t>$C$88</t>
    <phoneticPr fontId="2" type="noConversion"/>
  </si>
  <si>
    <t>$D$88</t>
  </si>
  <si>
    <t>$C$89</t>
    <phoneticPr fontId="2" type="noConversion"/>
  </si>
  <si>
    <t>$D$89</t>
  </si>
  <si>
    <t>$C$90</t>
    <phoneticPr fontId="2" type="noConversion"/>
  </si>
  <si>
    <t>$D$90</t>
  </si>
  <si>
    <t>$C$91</t>
    <phoneticPr fontId="2" type="noConversion"/>
  </si>
  <si>
    <t>$D$91</t>
  </si>
  <si>
    <t>$C$92</t>
    <phoneticPr fontId="2" type="noConversion"/>
  </si>
  <si>
    <t>$D$92</t>
  </si>
  <si>
    <t>$C$93</t>
    <phoneticPr fontId="2" type="noConversion"/>
  </si>
  <si>
    <t>$D$93</t>
  </si>
  <si>
    <t>$C$94</t>
    <phoneticPr fontId="2" type="noConversion"/>
  </si>
  <si>
    <t>$D$94</t>
  </si>
  <si>
    <t>$C$96</t>
    <phoneticPr fontId="2" type="noConversion"/>
  </si>
  <si>
    <t>$D$96</t>
  </si>
  <si>
    <t>$C$97</t>
    <phoneticPr fontId="2" type="noConversion"/>
  </si>
  <si>
    <t>$D$97</t>
  </si>
  <si>
    <t>$C$98</t>
    <phoneticPr fontId="2" type="noConversion"/>
  </si>
  <si>
    <t>$D$98</t>
  </si>
  <si>
    <t>$C$99</t>
    <phoneticPr fontId="2" type="noConversion"/>
  </si>
  <si>
    <t>$D$99</t>
  </si>
  <si>
    <t>$C$100</t>
    <phoneticPr fontId="2" type="noConversion"/>
  </si>
  <si>
    <t>$D$100</t>
  </si>
  <si>
    <t>$C$101</t>
    <phoneticPr fontId="2" type="noConversion"/>
  </si>
  <si>
    <t>$D$101</t>
  </si>
  <si>
    <t>$C$102</t>
    <phoneticPr fontId="2" type="noConversion"/>
  </si>
  <si>
    <t>$D$102</t>
  </si>
  <si>
    <t>$C$103</t>
    <phoneticPr fontId="2" type="noConversion"/>
  </si>
  <si>
    <t>$D$103</t>
  </si>
  <si>
    <t>$C$104</t>
    <phoneticPr fontId="2" type="noConversion"/>
  </si>
  <si>
    <t>$D$104</t>
  </si>
  <si>
    <t>$C$105</t>
    <phoneticPr fontId="2" type="noConversion"/>
  </si>
  <si>
    <t>$D$105</t>
  </si>
  <si>
    <t>$C$106</t>
    <phoneticPr fontId="2" type="noConversion"/>
  </si>
  <si>
    <t>$D$106</t>
  </si>
  <si>
    <t>$C$107</t>
    <phoneticPr fontId="2" type="noConversion"/>
  </si>
  <si>
    <t>$D$107</t>
  </si>
  <si>
    <t>$C$108</t>
    <phoneticPr fontId="2" type="noConversion"/>
  </si>
  <si>
    <t>$D$108</t>
  </si>
  <si>
    <t>$C$109</t>
    <phoneticPr fontId="2" type="noConversion"/>
  </si>
  <si>
    <t>$D$109</t>
  </si>
  <si>
    <t>$C$110</t>
    <phoneticPr fontId="2" type="noConversion"/>
  </si>
  <si>
    <t>$D$110</t>
  </si>
  <si>
    <t>$C$111</t>
    <phoneticPr fontId="2" type="noConversion"/>
  </si>
  <si>
    <t>$D$111</t>
  </si>
  <si>
    <t>$C$112</t>
    <phoneticPr fontId="2" type="noConversion"/>
  </si>
  <si>
    <t>$D$112</t>
  </si>
  <si>
    <t>$C$113</t>
    <phoneticPr fontId="2" type="noConversion"/>
  </si>
  <si>
    <t>$D$113</t>
  </si>
  <si>
    <t>$C$114</t>
    <phoneticPr fontId="2" type="noConversion"/>
  </si>
  <si>
    <t>$D$114</t>
  </si>
  <si>
    <t>$C$115</t>
    <phoneticPr fontId="2" type="noConversion"/>
  </si>
  <si>
    <t>$D$115</t>
  </si>
  <si>
    <t>$C$116</t>
    <phoneticPr fontId="2" type="noConversion"/>
  </si>
  <si>
    <t>$D$116</t>
  </si>
  <si>
    <t>$C$117</t>
    <phoneticPr fontId="2" type="noConversion"/>
  </si>
  <si>
    <t>$D$117</t>
  </si>
  <si>
    <t>$C$118</t>
    <phoneticPr fontId="2" type="noConversion"/>
  </si>
  <si>
    <t>$D$118</t>
  </si>
  <si>
    <t>$C$119</t>
    <phoneticPr fontId="2" type="noConversion"/>
  </si>
  <si>
    <t>$D$119</t>
  </si>
  <si>
    <t>$C$120</t>
    <phoneticPr fontId="2" type="noConversion"/>
  </si>
  <si>
    <t>$D$120</t>
  </si>
  <si>
    <t>$C$121</t>
    <phoneticPr fontId="2" type="noConversion"/>
  </si>
  <si>
    <t>$D$121</t>
  </si>
  <si>
    <t>$C$122</t>
    <phoneticPr fontId="2" type="noConversion"/>
  </si>
  <si>
    <t>$D$122</t>
  </si>
  <si>
    <t>$C$123</t>
    <phoneticPr fontId="2" type="noConversion"/>
  </si>
  <si>
    <t>$D$123</t>
  </si>
  <si>
    <t>$C$124</t>
    <phoneticPr fontId="2" type="noConversion"/>
  </si>
  <si>
    <t>$D$124</t>
  </si>
  <si>
    <r>
      <t>EPMOlapMemberO("[ACCOUNT].[PARENTH1].[A1021T]","","</t>
    </r>
    <r>
      <rPr>
        <sz val="9"/>
        <color theme="1"/>
        <rFont val="宋体"/>
        <family val="3"/>
        <charset val="134"/>
      </rPr>
      <t>受限制现金</t>
    </r>
    <r>
      <rPr>
        <sz val="9"/>
        <color theme="1"/>
        <rFont val="Arial"/>
        <family val="2"/>
      </rPr>
      <t>","","000")</t>
    </r>
    <phoneticPr fontId="2" type="noConversion"/>
  </si>
  <si>
    <t xml:space="preserve"> FPMXLClient.TechnicalCategory.EPMLocalMember("流动资产：","001","000")</t>
  </si>
  <si>
    <t xml:space="preserve"> EPMOlapMemberO("[ACCOUNT].[PARENTH1].[A1001T]","","货币资金","","000")</t>
  </si>
  <si>
    <t xml:space="preserve"> EPMOlapMemberO("[ACCOUNT].[PARENTH1].[A1002T]","","△结算备付金","","000")</t>
  </si>
  <si>
    <t xml:space="preserve"> EPMOlapMemberO("[ACCOUNT].[PARENTH1].[A1003T]","","△拆出资金","","000")</t>
  </si>
  <si>
    <t xml:space="preserve"> EPMOlapMemberO("[ACCOUNT].[PARENTH1].[A1004T]","","交易性金融资产","","000")</t>
  </si>
  <si>
    <t xml:space="preserve"> EPMOlapMemberO("[ACCOUNT].[PARENTH1].[A1005T]","","应收票据","","000")</t>
  </si>
  <si>
    <t xml:space="preserve"> EPMOlapMemberO("[ACCOUNT].[PARENTH1].[A1006T]","","应收账款","","000")</t>
  </si>
  <si>
    <t xml:space="preserve"> EPMOlapMemberO("[ACCOUNT].[PARENTH1].[A1007T]","","预付款项","","000")</t>
  </si>
  <si>
    <t xml:space="preserve"> EPMOlapMemberO("[ACCOUNT].[PARENTH1].[A1008T]","","△应收保费","","000")</t>
  </si>
  <si>
    <t xml:space="preserve"> EPMOlapMemberO("[ACCOUNT].[PARENTH1].[A1009T]","","△应收分保账款","","000")</t>
  </si>
  <si>
    <t xml:space="preserve"> EPMOlapMemberO("[ACCOUNT].[PARENTH1].[A1010T]","","△应收分保合同准备金","","000")</t>
  </si>
  <si>
    <t xml:space="preserve"> EPMOlapMemberO("[ACCOUNT].[PARENTH1].[A1011T]","","应收利息","","000")</t>
  </si>
  <si>
    <t xml:space="preserve"> EPMOlapMemberO("[ACCOUNT].[PARENTH1].[A1012T]","","应收股利","","000")</t>
  </si>
  <si>
    <t xml:space="preserve"> EPMOlapMemberO("[ACCOUNT].[PARENTH1].[A1013T]","","其他应收款","","000")</t>
  </si>
  <si>
    <t xml:space="preserve"> EPMOlapMemberO("[ACCOUNT].[PARENTH1].[A1014T]","","△买入返售金融资产","","000")</t>
  </si>
  <si>
    <t xml:space="preserve"> EPMOlapMemberO("[ACCOUNT].[PARENTH1].[A1015T]","","存货","","000")</t>
  </si>
  <si>
    <t xml:space="preserve"> EPMOlapMemberO("[ACCOUNT].[PARENTH1].[A1016T]","","其中：原材料","","000")</t>
  </si>
  <si>
    <t xml:space="preserve"> FPMXLClient.TechnicalCategory.EPMLocalMember("库存商品","005","000")</t>
  </si>
  <si>
    <t xml:space="preserve"> EPMOlapMemberO("[ACCOUNT].[PARENTH1].[A1017T]","","库存商品(产成品)","","000")</t>
  </si>
  <si>
    <t xml:space="preserve"> EPMOlapMemberO("[ACCOUNT].[PARENTH1].[1233T]","","零部件","","000")</t>
  </si>
  <si>
    <t xml:space="preserve"> EPMOlapMemberO("[ACCOUNT].[PARENTH1].[123607T]","","材料成本差异－零部件","","000")</t>
  </si>
  <si>
    <t xml:space="preserve"> EPMOlapMemberO("[ACCOUNT].[PARENTH1].[128107T]","","存货跌价准备－零部件","","000")</t>
  </si>
  <si>
    <t xml:space="preserve"> EPMOlapMemberO("[ACCOUNT].[PARENTH1].[A1023T]","","合同资产","","000")</t>
  </si>
  <si>
    <t xml:space="preserve"> EPMOlapMemberO("[ACCOUNT].[PARENTH1].[A1018T]","","划分为持有待售的资产","","000")</t>
  </si>
  <si>
    <t xml:space="preserve"> EPMOlapMemberO("[ACCOUNT].[PARENTH1].[A1019T]","","一年内到期的非流动资产","","000")</t>
  </si>
  <si>
    <t xml:space="preserve"> EPMOlapMemberO("[ACCOUNT].[PARENTH1].[A1020T]","","其他流动资产","","000")</t>
  </si>
  <si>
    <t xml:space="preserve"> EPMOlapMemberO("[ACCOUNT].[PARENTH1].[A1021T]","","受限制现金","","000")</t>
  </si>
  <si>
    <t xml:space="preserve"> EPMOlapMemberO("[ACCOUNT].[PARENTH1].[A1022T]","","应收款项-合营方","","000")</t>
  </si>
  <si>
    <t xml:space="preserve"> EPMOlapMemberO("[ACCOUNT].[PARENTH1].[BS1010]","","流动资产合计","","000")</t>
  </si>
  <si>
    <t xml:space="preserve"> FPMXLClient.TechnicalCategory.EPMLocalMember("非流动资产：","000","000")</t>
  </si>
  <si>
    <t xml:space="preserve"> EPMOlapMemberO("[ACCOUNT].[PARENTH1].[A2001T]","","△发放贷款及垫款","","000")</t>
  </si>
  <si>
    <t xml:space="preserve"> EPMOlapMemberO("[ACCOUNT].[PARENTH1].[A2002T]","","债权投资","","000")</t>
  </si>
  <si>
    <t xml:space="preserve"> EPMOlapMemberO("[ACCOUNT].[PARENTH1].[A2003T]","","其他债权投资","","000")</t>
  </si>
  <si>
    <t xml:space="preserve"> EPMOlapMemberO("[ACCOUNT].[PARENTH1].[A2004T]","","长期应收款","","000")</t>
  </si>
  <si>
    <t xml:space="preserve"> EPMOlapMemberO("[ACCOUNT].[PARENTH1].[A2005T]","","长期股权投资","","000")</t>
  </si>
  <si>
    <t xml:space="preserve"> EPMOlapMemberO("[ACCOUNT].[PARENTH1].[1402T]","","其他权益工具投资","","000")</t>
  </si>
  <si>
    <t xml:space="preserve"> EPMOlapMemberO("[ACCOUNT].[PARENTH1].[A2007T]","","投资性房地产","","000")</t>
  </si>
  <si>
    <t xml:space="preserve"> EPMOlapMemberO("[ACCOUNT].[PARENTH1].[A2010T]","","固定资产原价","","000")</t>
  </si>
  <si>
    <t xml:space="preserve"> EPMOlapMemberO("[ACCOUNT].[PARENTH1].[A2011T]","","减：累计折旧","","000")</t>
  </si>
  <si>
    <t xml:space="preserve"> EPMOlapMemberO("[ACCOUNT].[PARENTH1].[A2009T]","","固定资产净值","","000")</t>
  </si>
  <si>
    <t xml:space="preserve"> EPMOlapMemberO("[ACCOUNT].[PARENTH1].[A2012T]","","减：固定资产减值准备","","000")</t>
  </si>
  <si>
    <t xml:space="preserve"> EPMOlapMemberO("[ACCOUNT].[PARENTH1].[A2008T]","","固定资产净额","","000")</t>
  </si>
  <si>
    <t xml:space="preserve"> EPMOlapMemberO("[ACCOUNT].[PARENTH1].[A2013T]","","在建工程","","000")</t>
  </si>
  <si>
    <t xml:space="preserve"> EPMOlapMemberO("[ACCOUNT].[PARENTH1].[A2014T]","","固定资产清理","","000")</t>
  </si>
  <si>
    <t xml:space="preserve"> EPMOlapMemberO("[ACCOUNT].[PARENTH1].[A2015T]","","无形资产","","000")</t>
  </si>
  <si>
    <t xml:space="preserve"> EPMOlapMemberO("[ACCOUNT].[PARENTH1].[A2016T]","","开发支出","","000")</t>
  </si>
  <si>
    <t xml:space="preserve"> EPMOlapMemberO("[ACCOUNT].[PARENTH1].[A2017T]","","商誉","","000")</t>
  </si>
  <si>
    <t xml:space="preserve"> EPMOlapMemberO("[ACCOUNT].[PARENTH1].[A2018T]","","长期待摊费用","","000")</t>
  </si>
  <si>
    <t xml:space="preserve"> EPMOlapMemberO("[ACCOUNT].[PARENTH1].[A2019T]","","递延所得税资产","","000")</t>
  </si>
  <si>
    <t xml:space="preserve"> EPMOlapMemberO("[ACCOUNT].[PARENTH1].[A2020T]","","其他非流动资产","","000")</t>
  </si>
  <si>
    <t xml:space="preserve"> EPMOlapMemberO("[ACCOUNT].[PARENTH1].[A2021T]","","于联营公司的投资","","000")</t>
  </si>
  <si>
    <t xml:space="preserve"> EPMOlapMemberO("[ACCOUNT].[PARENTH1].[A2022T]","","预付租金","","000")</t>
  </si>
  <si>
    <t xml:space="preserve"> EPMOlapMemberO("[ACCOUNT].[PARENTH1].[A2023T]","","☆可供出售金融资产","","000")</t>
  </si>
  <si>
    <t xml:space="preserve"> EPMOlapMemberO("[ACCOUNT].[PARENTH1].[BS1020]","","非流动资产合计","","000")</t>
  </si>
  <si>
    <t xml:space="preserve"> EPMOlapMemberO("[ACCOUNT].[PARENTH1].[BS1000]","","资产总计","","000")</t>
  </si>
  <si>
    <t xml:space="preserve"> FPMXLClient.TechnicalCategory.EPMLocalMember("流动负债：","002","000")</t>
  </si>
  <si>
    <t xml:space="preserve"> EPMOlapMemberO("[ACCOUNT].[PARENTH1].[L1001T]","","短期借款","","000")</t>
  </si>
  <si>
    <t xml:space="preserve"> EPMOlapMemberO("[ACCOUNT].[PARENTH1].[L1002T]","","△向中央银行借款","","000")</t>
  </si>
  <si>
    <t xml:space="preserve"> EPMOlapMemberO("[ACCOUNT].[PARENTH1].[L1003T]","","△吸收存款及同业存放","","000")</t>
  </si>
  <si>
    <t xml:space="preserve"> EPMOlapMemberO("[ACCOUNT].[PARENTH1].[L1004T]","","△拆入资金","","000")</t>
  </si>
  <si>
    <t xml:space="preserve"> EPMOlapMemberO("[ACCOUNT].[PARENTH1].[L1005T]","","交易性金融负债","","000")</t>
  </si>
  <si>
    <t xml:space="preserve"> EPMOlapMemberO("[ACCOUNT].[PARENTH1].[L1006T]","","应付票据","","000")</t>
  </si>
  <si>
    <t xml:space="preserve"> EPMOlapMemberO("[ACCOUNT].[PARENTH1].[L1007T]","","应付账款","","000")</t>
  </si>
  <si>
    <t xml:space="preserve"> EPMOlapMemberO("[ACCOUNT].[PARENTH1].[L1008T]","","预收款项","","000")</t>
  </si>
  <si>
    <t xml:space="preserve"> EPMOlapMemberO("[ACCOUNT].[PARENTH1].[L2028T]","","合同负债","","000")</t>
  </si>
  <si>
    <t xml:space="preserve"> EPMOlapMemberO("[ACCOUNT].[PARENTH1].[L1009T]","","△卖出回购金融资产款","","000")</t>
  </si>
  <si>
    <t xml:space="preserve"> EPMOlapMemberO("[ACCOUNT].[PARENTH1].[L1010T]","","△应付手续费及佣金","","000")</t>
  </si>
  <si>
    <t xml:space="preserve"> EPMOlapMemberO("[ACCOUNT].[PARENTH1].[L1011T]","","应付职工薪酬","","000")</t>
  </si>
  <si>
    <t xml:space="preserve"> EPMOlapMemberO("[ACCOUNT].[PARENTH1].[L1012T]","","其中：应付工资","","000")</t>
  </si>
  <si>
    <t xml:space="preserve"> EPMOlapMemberO("[ACCOUNT].[PARENTH1].[L1013T]","","应付福利费","","000")</t>
  </si>
  <si>
    <t xml:space="preserve"> EPMOlapMemberO("[ACCOUNT].[PARENTH1].[L1014T]","","#其中：职工奖励及福利基金","","000")</t>
  </si>
  <si>
    <t xml:space="preserve"> EPMOlapMemberO("[ACCOUNT].[PARENTH1].[L1015T]","","应交税费","","000")</t>
  </si>
  <si>
    <t xml:space="preserve"> EPMOlapMemberO("[ACCOUNT].[PARENTH1].[L1016T]","","其中：应交税金","","000")</t>
  </si>
  <si>
    <t xml:space="preserve"> EPMOlapMemberO("[ACCOUNT].[PARENTH1].[L1017T]","","应付利息","","000")</t>
  </si>
  <si>
    <t xml:space="preserve"> EPMOlapMemberO("[ACCOUNT].[PARENTH1].[L1018T]","","应付股利","","000")</t>
  </si>
  <si>
    <t xml:space="preserve"> EPMOlapMemberO("[ACCOUNT].[PARENTH1].[L1019T]","","其他应付款","","000")</t>
  </si>
  <si>
    <t xml:space="preserve"> EPMOlapMemberO("[ACCOUNT].[PARENTH1].[L1020T]","","△应付分保账款","","000")</t>
  </si>
  <si>
    <t xml:space="preserve"> EPMOlapMemberO("[ACCOUNT].[PARENTH1].[L1021T]","","△保险合同准备金","","000")</t>
  </si>
  <si>
    <t xml:space="preserve"> EPMOlapMemberO("[ACCOUNT].[PARENTH1].[L1022T]","","△代理买卖证券款","","000")</t>
  </si>
  <si>
    <t xml:space="preserve"> EPMOlapMemberO("[ACCOUNT].[PARENTH1].[L1023T]","","△代理承销证券款","","000")</t>
  </si>
  <si>
    <t xml:space="preserve"> EPMOlapMemberO("[ACCOUNT].[PARENTH1].[L1024T]","","划分为持有待售的负债","","000")</t>
  </si>
  <si>
    <t xml:space="preserve"> EPMOlapMemberO("[ACCOUNT].[PARENTH1].[L1025T]","","一年内到期的非流动负债","","000")</t>
  </si>
  <si>
    <t xml:space="preserve"> EPMOlapMemberO("[ACCOUNT].[PARENTH1].[L1026T]","","其他流动负债","","000")</t>
  </si>
  <si>
    <t xml:space="preserve"> EPMOlapMemberO("[ACCOUNT].[PARENTH1].[L1027T]","","应付款项-合营方","","000")</t>
  </si>
  <si>
    <t xml:space="preserve"> EPMOlapMemberO("[ACCOUNT].[PARENTH1].[BS2011]","","流动负债合计","","000")</t>
  </si>
  <si>
    <t xml:space="preserve"> FPMXLClient.TechnicalCategory.EPMLocalMember("非流动负债：","003","000")</t>
  </si>
  <si>
    <t xml:space="preserve"> EPMOlapMemberO("[ACCOUNT].[PARENTH1].[L2001T]","","长期借款","","000")</t>
  </si>
  <si>
    <t xml:space="preserve"> EPMOlapMemberO("[ACCOUNT].[PARENTH1].[L2002T]","","应付债券","","000")</t>
  </si>
  <si>
    <t xml:space="preserve"> EPMOlapMemberO("[ACCOUNT].[PARENTH1].[L2003T]","","长期应付款","","000")</t>
  </si>
  <si>
    <t xml:space="preserve"> EPMOlapMemberO("[ACCOUNT].[PARENTH1].[L2009T]","","长期应付职工薪酬","","000")</t>
  </si>
  <si>
    <t xml:space="preserve"> EPMOlapMemberO("[ACCOUNT].[PARENTH1].[L2004T]","","专项应付款","","000")</t>
  </si>
  <si>
    <t xml:space="preserve"> EPMOlapMemberO("[ACCOUNT].[PARENTH1].[L2005T]","","预计负债","","000")</t>
  </si>
  <si>
    <t xml:space="preserve"> EPMOlapMemberO("[ACCOUNT].[PARENTH1].[L2006T]","","递延收益","","000")</t>
  </si>
  <si>
    <t xml:space="preserve"> EPMOlapMemberO("[ACCOUNT].[PARENTH1].[L2007T]","","递延所得税负债","","000")</t>
  </si>
  <si>
    <t xml:space="preserve"> EPMOlapMemberO("[ACCOUNT].[PARENTH1].[L2008T]","","其他非流动负债","","000")</t>
  </si>
  <si>
    <t xml:space="preserve"> EPMOlapMemberO("[ACCOUNT].[PARENTH1].[BS2012]","","非流动负债合计","","000")</t>
  </si>
  <si>
    <t xml:space="preserve"> EPMOlapMemberO("[ACCOUNT].[PARENTH1].[BS2010]","","负债合计","","000")</t>
  </si>
  <si>
    <t xml:space="preserve"> FPMXLClient.TechnicalCategory.EPMLocalMember("所有者权益（或股东权益）：","004","000")</t>
  </si>
  <si>
    <t xml:space="preserve"> EPMOlapMemberO("[ACCOUNT].[PARENTH1].[E1002T]","","实收资本（股本）","","000")</t>
  </si>
  <si>
    <t xml:space="preserve"> EPMOlapMemberO("[ACCOUNT].[PARENTH1].[E1003T]","","国家资本","","000")</t>
  </si>
  <si>
    <t xml:space="preserve"> EPMOlapMemberO("[ACCOUNT].[PARENTH1].[E1004T]","","其中：国有法人资本","","000")</t>
  </si>
  <si>
    <t xml:space="preserve"> EPMOlapMemberO("[ACCOUNT].[PARENTH1].[E1005T]","","集体资本","","000")</t>
  </si>
  <si>
    <t xml:space="preserve"> EPMOlapMemberO("[ACCOUNT].[PARENTH1].[E1006T]","","私营资本","","000")</t>
  </si>
  <si>
    <t xml:space="preserve"> EPMOlapMemberO("[ACCOUNT].[PARENTH1].[E1007T]","","其中：个人资本","","000")</t>
  </si>
  <si>
    <t xml:space="preserve"> EPMOlapMemberO("[ACCOUNT].[PARENTH1].[E1008T]","","外商资本","","000")</t>
  </si>
  <si>
    <t xml:space="preserve"> EPMOlapMemberO("[ACCOUNT].[PARENTH1].[E1009T]","","#减：已归还投资","","000")</t>
  </si>
  <si>
    <t xml:space="preserve"> EPMOlapMemberO("[ACCOUNT].[PARENTH1].[E1001T]","","实收资本（或股本）净额","","000")</t>
  </si>
  <si>
    <t xml:space="preserve"> EPMOlapMemberO("[ACCOUNT].[PARENTH1].[E1010T]","","资本公积","","000")</t>
  </si>
  <si>
    <t xml:space="preserve"> EPMOlapMemberO("[ACCOUNT].[PARENTH1].[E1011T]","","减：库存股","","000")</t>
  </si>
  <si>
    <t xml:space="preserve"> EPMOlapMemberO("[ACCOUNT].[PARENTH1].[E1012T]","","其他综合收益","","000")</t>
  </si>
  <si>
    <t xml:space="preserve"> EPMOlapMemberO("[ACCOUNT].[PARENTH1].[E1013T]","","其中：外币折算差额","","000")</t>
  </si>
  <si>
    <t xml:space="preserve"> EPMOlapMemberO("[ACCOUNT].[PARENTH1].[E1014T]","","专项储备","","000")</t>
  </si>
  <si>
    <t xml:space="preserve"> EPMOlapMemberO("[ACCOUNT].[PARENTH1].[E1015T]","","盈余公积","","000")</t>
  </si>
  <si>
    <t xml:space="preserve"> EPMOlapMemberO("[ACCOUNT].[PARENTH1].[E1016T]","","其中：法定公积金","","000")</t>
  </si>
  <si>
    <t xml:space="preserve"> EPMOlapMemberO("[ACCOUNT].[PARENTH1].[E1017T]","","任意公积金","","000")</t>
  </si>
  <si>
    <t xml:space="preserve"> EPMOlapMemberO("[ACCOUNT].[PARENTH1].[E1018T]","","#储备基金","","000")</t>
  </si>
  <si>
    <t xml:space="preserve"> EPMOlapMemberO("[ACCOUNT].[PARENTH1].[E1019T]","","#企业发展基金","","000")</t>
  </si>
  <si>
    <t xml:space="preserve"> EPMOlapMemberO("[ACCOUNT].[PARENTH1].[E1020T]","","#利润归还投资","","000")</t>
  </si>
  <si>
    <t xml:space="preserve"> EPMOlapMemberO("[ACCOUNT].[PARENTH1].[E1021T]","","△一般风险准备","","000")</t>
  </si>
  <si>
    <t xml:space="preserve"> EPMOlapMemberO("[ACCOUNT].[PARENTH1].[E1022T]","","未分配利润","","000")</t>
  </si>
  <si>
    <t xml:space="preserve"> EPMOlapMemberO("[ACCOUNT].[PARENTH1].[E1000T]","","归属于母公司所有者权益合计","","000")</t>
  </si>
  <si>
    <t xml:space="preserve"> EPMOlapMemberO("[ACCOUNT].[PARENTH1].[E2000T]","","*少数股东权益","","000")</t>
  </si>
  <si>
    <t xml:space="preserve"> EPMOlapMemberO("[ACCOUNT].[PARENTH1].[BS2020]","","所有者权益合计","","000")</t>
  </si>
  <si>
    <t xml:space="preserve"> EPMOlapMemberO("[ACCOUNT].[PARENTH1].[BS2000]","","负债和所有者权益总计","","000")</t>
  </si>
  <si>
    <t xml:space="preserve"> FPMXLClient.TechnicalCategory.EPMLocalMember("(fn) 位置的本地成员","008","000")</t>
  </si>
  <si>
    <t>使用说明：</t>
    <phoneticPr fontId="2" type="noConversion"/>
  </si>
  <si>
    <t>a.点击进入分析视图，</t>
    <phoneticPr fontId="2" type="noConversion"/>
  </si>
  <si>
    <t>b.点此表中的数据区单元格，数据相同显绿色，不同显红色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</si>
</sst>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* #,##0.00_);_(* \(#,##0.00\);_(* &quot;-&quot;??_);_(@_)"/>
    <numFmt numFmtId="177" formatCode="#,##0.00_ "/>
    <numFmt numFmtId="178" formatCode="_ [$€-2]* #,##0.00_ ;_ [$€-2]* \-#,##0.00_ ;_ [$€-2]* &quot;-&quot;??_ "/>
    <numFmt numFmtId="179" formatCode="#,##0_ "/>
    <numFmt numFmtId="180" formatCode="0.00_);[Red]\(0.00\)"/>
  </numFmts>
  <fonts count="26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9"/>
      <color theme="1"/>
      <name val="Arial"/>
      <family val="2"/>
    </font>
    <font>
      <b/>
      <sz val="9"/>
      <color theme="1"/>
      <name val="微软雅黑"/>
      <family val="2"/>
      <charset val="134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name val="微软雅黑"/>
      <family val="2"/>
      <charset val="134"/>
    </font>
    <font>
      <b/>
      <sz val="1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color theme="0"/>
      <name val="Arial"/>
      <family val="2"/>
    </font>
    <font>
      <sz val="9"/>
      <color theme="0"/>
      <name val="宋体"/>
      <family val="3"/>
      <charset val="134"/>
    </font>
    <font>
      <b/>
      <sz val="9"/>
      <color theme="0"/>
      <name val="Arial"/>
      <family val="2"/>
    </font>
    <font>
      <sz val="10.5"/>
      <color theme="1"/>
      <name val="Calibri"/>
      <family val="2"/>
    </font>
    <font>
      <sz val="9"/>
      <color theme="1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4"/>
      <name val="System"/>
      <family val="2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color indexed="8"/>
      <name val="System"/>
      <family val="2"/>
    </font>
    <font>
      <sz val="11"/>
      <color rgb="FF000000"/>
      <name val="等线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">
    <xf numFmtId="0" fontId="0" fillId="0" borderId="0">
      <alignment vertical="center"/>
    </xf>
    <xf numFmtId="0" fontId="16" fillId="0" borderId="0">
      <alignment vertical="center"/>
    </xf>
    <xf numFmtId="0" fontId="18" fillId="0" borderId="0"/>
    <xf numFmtId="0" fontId="1" fillId="0" borderId="0">
      <alignment vertical="center"/>
    </xf>
    <xf numFmtId="178" fontId="21" fillId="0" borderId="0">
      <alignment vertical="center"/>
    </xf>
  </cellStyleXfs>
  <cellXfs count="64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2" xfId="0" applyFont="1" applyFill="1" applyBorder="1">
      <alignment vertical="center"/>
    </xf>
    <xf numFmtId="0" fontId="6" fillId="3" borderId="2" xfId="0" applyFont="1" applyFill="1" applyBorder="1" applyAlignment="1">
      <alignment horizontal="left" vertical="center"/>
    </xf>
    <xf numFmtId="0" fontId="0" fillId="3" borderId="3" xfId="0" applyFill="1" applyBorder="1">
      <alignment vertical="center"/>
    </xf>
    <xf numFmtId="0" fontId="9" fillId="3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left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  <protection locked="0"/>
    </xf>
    <xf numFmtId="177" fontId="12" fillId="4" borderId="6" xfId="0" applyNumberFormat="1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 applyProtection="1">
      <alignment horizontal="center" vertical="center"/>
      <protection locked="0"/>
    </xf>
    <xf numFmtId="0" fontId="13" fillId="5" borderId="6" xfId="0" applyFont="1" applyFill="1" applyBorder="1" applyAlignment="1" applyProtection="1">
      <alignment horizontal="center" vertical="center"/>
      <protection locked="0"/>
    </xf>
    <xf numFmtId="0" fontId="6" fillId="6" borderId="6" xfId="0" applyFont="1" applyFill="1" applyBorder="1" applyAlignment="1" applyProtection="1">
      <alignment horizontal="left" vertical="center"/>
      <protection locked="0"/>
    </xf>
    <xf numFmtId="0" fontId="6" fillId="6" borderId="6" xfId="0" applyFont="1" applyFill="1" applyBorder="1" applyAlignment="1" applyProtection="1">
      <alignment horizontal="center" vertical="center"/>
      <protection locked="0"/>
    </xf>
    <xf numFmtId="177" fontId="6" fillId="7" borderId="6" xfId="0" applyNumberFormat="1" applyFont="1" applyFill="1" applyBorder="1" applyAlignment="1" applyProtection="1">
      <alignment horizontal="right" vertical="center"/>
      <protection locked="0"/>
    </xf>
    <xf numFmtId="0" fontId="6" fillId="6" borderId="6" xfId="0" applyFont="1" applyFill="1" applyBorder="1" applyAlignment="1" applyProtection="1">
      <alignment horizontal="left" vertical="center" indent="4"/>
      <protection locked="0"/>
    </xf>
    <xf numFmtId="177" fontId="6" fillId="0" borderId="6" xfId="0" applyNumberFormat="1" applyFont="1" applyBorder="1" applyAlignment="1" applyProtection="1">
      <alignment horizontal="right" vertical="center"/>
      <protection locked="0"/>
    </xf>
    <xf numFmtId="0" fontId="14" fillId="0" borderId="1" xfId="0" applyFont="1" applyBorder="1">
      <alignment vertical="center"/>
    </xf>
    <xf numFmtId="0" fontId="14" fillId="3" borderId="1" xfId="0" applyFont="1" applyFill="1" applyBorder="1">
      <alignment vertical="center"/>
    </xf>
    <xf numFmtId="0" fontId="6" fillId="6" borderId="6" xfId="0" applyFont="1" applyFill="1" applyBorder="1" applyAlignment="1" applyProtection="1">
      <alignment horizontal="left" vertical="center" indent="5"/>
      <protection locked="0"/>
    </xf>
    <xf numFmtId="0" fontId="15" fillId="6" borderId="6" xfId="0" applyFont="1" applyFill="1" applyBorder="1" applyAlignment="1" applyProtection="1">
      <alignment horizontal="center" vertical="center"/>
      <protection locked="0"/>
    </xf>
    <xf numFmtId="0" fontId="6" fillId="6" borderId="6" xfId="0" applyFont="1" applyFill="1" applyBorder="1" applyAlignment="1" applyProtection="1">
      <alignment horizontal="left" vertical="center" indent="6"/>
      <protection locked="0"/>
    </xf>
    <xf numFmtId="0" fontId="6" fillId="6" borderId="6" xfId="0" applyFont="1" applyFill="1" applyBorder="1" applyAlignment="1" applyProtection="1">
      <alignment horizontal="left" vertical="center" indent="3"/>
      <protection locked="0"/>
    </xf>
    <xf numFmtId="177" fontId="6" fillId="8" borderId="6" xfId="0" applyNumberFormat="1" applyFont="1" applyFill="1" applyBorder="1" applyAlignment="1" applyProtection="1">
      <alignment horizontal="right" vertical="center"/>
      <protection locked="0"/>
    </xf>
    <xf numFmtId="0" fontId="6" fillId="6" borderId="6" xfId="0" applyFont="1" applyFill="1" applyBorder="1" applyAlignment="1" applyProtection="1">
      <alignment horizontal="left" vertical="center" indent="2"/>
      <protection locked="0"/>
    </xf>
    <xf numFmtId="0" fontId="6" fillId="6" borderId="6" xfId="0" applyFont="1" applyFill="1" applyBorder="1" applyAlignment="1" applyProtection="1">
      <alignment horizontal="left" vertical="center" indent="8"/>
      <protection locked="0"/>
    </xf>
    <xf numFmtId="0" fontId="6" fillId="6" borderId="6" xfId="0" applyFont="1" applyFill="1" applyBorder="1" applyAlignment="1" applyProtection="1">
      <alignment horizontal="left" vertical="center" indent="9"/>
      <protection locked="0"/>
    </xf>
    <xf numFmtId="0" fontId="6" fillId="6" borderId="6" xfId="0" applyFont="1" applyFill="1" applyBorder="1" applyAlignment="1" applyProtection="1">
      <alignment horizontal="left" vertical="center" indent="7"/>
      <protection locked="0"/>
    </xf>
    <xf numFmtId="0" fontId="17" fillId="0" borderId="1" xfId="1" applyFont="1" applyBorder="1" applyAlignment="1">
      <alignment horizontal="center" vertical="center"/>
    </xf>
    <xf numFmtId="178" fontId="17" fillId="0" borderId="1" xfId="2" applyNumberFormat="1" applyFont="1" applyBorder="1" applyAlignment="1">
      <alignment horizontal="center" vertical="center"/>
    </xf>
    <xf numFmtId="0" fontId="19" fillId="0" borderId="0" xfId="3" applyFont="1" applyAlignment="1" applyProtection="1">
      <protection locked="0"/>
    </xf>
    <xf numFmtId="178" fontId="19" fillId="0" borderId="1" xfId="2" quotePrefix="1" applyNumberFormat="1" applyFont="1" applyBorder="1" applyAlignment="1">
      <alignment vertical="center"/>
    </xf>
    <xf numFmtId="179" fontId="19" fillId="0" borderId="1" xfId="2" quotePrefix="1" applyNumberFormat="1" applyFont="1" applyBorder="1" applyAlignment="1">
      <alignment horizontal="center" vertical="center"/>
    </xf>
    <xf numFmtId="176" fontId="19" fillId="0" borderId="1" xfId="1" applyNumberFormat="1" applyFont="1" applyBorder="1" applyProtection="1">
      <alignment vertical="center"/>
      <protection locked="0"/>
    </xf>
    <xf numFmtId="49" fontId="19" fillId="0" borderId="0" xfId="3" applyNumberFormat="1" applyFont="1" applyProtection="1">
      <alignment vertical="center"/>
      <protection locked="0"/>
    </xf>
    <xf numFmtId="178" fontId="19" fillId="0" borderId="1" xfId="2" applyNumberFormat="1" applyFont="1" applyBorder="1" applyAlignment="1">
      <alignment horizontal="center" vertical="center"/>
    </xf>
    <xf numFmtId="178" fontId="22" fillId="0" borderId="0" xfId="4" applyFont="1" applyProtection="1">
      <alignment vertical="center"/>
      <protection locked="0"/>
    </xf>
    <xf numFmtId="49" fontId="23" fillId="0" borderId="1" xfId="2" applyNumberFormat="1" applyFont="1" applyBorder="1" applyAlignment="1">
      <alignment vertical="center"/>
    </xf>
    <xf numFmtId="178" fontId="19" fillId="0" borderId="1" xfId="2" quotePrefix="1" applyNumberFormat="1" applyFont="1" applyBorder="1" applyAlignment="1">
      <alignment horizontal="center" vertical="center"/>
    </xf>
    <xf numFmtId="49" fontId="19" fillId="0" borderId="1" xfId="2" applyNumberFormat="1" applyFont="1" applyBorder="1" applyAlignment="1">
      <alignment vertical="center"/>
    </xf>
    <xf numFmtId="178" fontId="19" fillId="0" borderId="1" xfId="2" quotePrefix="1" applyNumberFormat="1" applyFont="1" applyBorder="1" applyAlignment="1">
      <alignment horizontal="left" vertical="center"/>
    </xf>
    <xf numFmtId="0" fontId="24" fillId="0" borderId="0" xfId="1" applyFont="1" applyProtection="1">
      <alignment vertical="center"/>
      <protection locked="0"/>
    </xf>
    <xf numFmtId="180" fontId="0" fillId="3" borderId="0" xfId="0" applyNumberFormat="1" applyFill="1">
      <alignment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11" fillId="4" borderId="6" xfId="0" applyFont="1" applyFill="1" applyBorder="1" applyAlignment="1" applyProtection="1">
      <alignment horizontal="right" vertical="center"/>
      <protection locked="0"/>
    </xf>
    <xf numFmtId="0" fontId="13" fillId="5" borderId="6" xfId="0" applyFont="1" applyFill="1" applyBorder="1" applyAlignment="1" applyProtection="1">
      <alignment horizontal="right" vertical="center"/>
      <protection locked="0"/>
    </xf>
    <xf numFmtId="0" fontId="6" fillId="6" borderId="6" xfId="0" applyFont="1" applyFill="1" applyBorder="1" applyAlignment="1" applyProtection="1">
      <alignment horizontal="right" vertical="center"/>
      <protection locked="0"/>
    </xf>
    <xf numFmtId="0" fontId="6" fillId="6" borderId="6" xfId="0" applyFont="1" applyFill="1" applyBorder="1" applyAlignment="1" applyProtection="1">
      <alignment horizontal="right" vertical="center" indent="4"/>
      <protection locked="0"/>
    </xf>
    <xf numFmtId="0" fontId="6" fillId="6" borderId="6" xfId="0" applyFont="1" applyFill="1" applyBorder="1" applyAlignment="1" applyProtection="1">
      <alignment horizontal="right" vertical="center" indent="5"/>
      <protection locked="0"/>
    </xf>
    <xf numFmtId="0" fontId="15" fillId="6" borderId="6" xfId="0" applyFont="1" applyFill="1" applyBorder="1" applyAlignment="1" applyProtection="1">
      <alignment horizontal="right" vertical="center"/>
      <protection locked="0"/>
    </xf>
    <xf numFmtId="0" fontId="6" fillId="6" borderId="6" xfId="0" applyFont="1" applyFill="1" applyBorder="1" applyAlignment="1" applyProtection="1">
      <alignment horizontal="right" vertical="center" indent="3"/>
      <protection locked="0"/>
    </xf>
    <xf numFmtId="0" fontId="6" fillId="6" borderId="6" xfId="0" applyFont="1" applyFill="1" applyBorder="1" applyAlignment="1" applyProtection="1">
      <alignment horizontal="right" vertical="center" indent="6"/>
      <protection locked="0"/>
    </xf>
    <xf numFmtId="0" fontId="6" fillId="6" borderId="6" xfId="0" applyFont="1" applyFill="1" applyBorder="1" applyAlignment="1" applyProtection="1">
      <alignment horizontal="right" vertical="center" indent="2"/>
      <protection locked="0"/>
    </xf>
    <xf numFmtId="0" fontId="6" fillId="6" borderId="6" xfId="0" applyFont="1" applyFill="1" applyBorder="1" applyAlignment="1" applyProtection="1">
      <alignment horizontal="right" vertical="center" indent="8"/>
      <protection locked="0"/>
    </xf>
    <xf numFmtId="0" fontId="6" fillId="6" borderId="6" xfId="0" applyFont="1" applyFill="1" applyBorder="1" applyAlignment="1" applyProtection="1">
      <alignment horizontal="right" vertical="center" indent="9"/>
      <protection locked="0"/>
    </xf>
    <xf numFmtId="0" fontId="6" fillId="6" borderId="6" xfId="0" applyFont="1" applyFill="1" applyBorder="1" applyAlignment="1" applyProtection="1">
      <alignment horizontal="right" vertical="center" indent="7"/>
      <protection locked="0"/>
    </xf>
  </cellXfs>
  <cellStyles count="5">
    <cellStyle name="常规" xfId="0" builtinId="0"/>
    <cellStyle name="常规 2" xfId="3" xr:uid="{00000000-0005-0000-0000-000001000000}"/>
    <cellStyle name="常规 3 2" xfId="4" xr:uid="{00000000-0005-0000-0000-000002000000}"/>
    <cellStyle name="常规 8" xfId="1" xr:uid="{00000000-0005-0000-0000-000003000000}"/>
    <cellStyle name="常规_资产负债表(东会01表)" xfId="2" xr:uid="{00000000-0005-0000-0000-000005000000}"/>
  </cellStyles>
  <dxfs count="848"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617220</xdr:colOff>
          <xdr:row>0</xdr:row>
          <xdr:rowOff>45720</xdr:rowOff>
        </xdr:from>
        <xdr:to>
          <xdr:col>3</xdr:col>
          <xdr:colOff>1676400</xdr:colOff>
          <xdr:row>1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进入分析视图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160020</xdr:colOff>
          <xdr:row>0</xdr:row>
          <xdr:rowOff>45720</xdr:rowOff>
        </xdr:from>
        <xdr:to>
          <xdr:col>5</xdr:col>
          <xdr:colOff>998220</xdr:colOff>
          <xdr:row>1</xdr:row>
          <xdr:rowOff>220980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退出分析视图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137"/>
  <sheetViews>
    <sheetView topLeftCell="A13" workbookViewId="0">
      <selection activeCell="H19" sqref="H19"/>
    </sheetView>
  </sheetViews>
  <sheetFormatPr defaultColWidth="27.88671875" defaultRowHeight="13.8" x14ac:dyDescent="0.25"/>
  <cols>
    <col min="1" max="1" width="1.6640625" style="1" customWidth="1"/>
    <col min="2" max="2" width="79" style="1" hidden="1" customWidth="1"/>
    <col min="3" max="3" width="9.6640625" style="1" hidden="1" customWidth="1"/>
    <col min="4" max="4" width="30.109375" style="51" customWidth="1"/>
    <col min="5" max="5" width="4.44140625" style="1" bestFit="1" customWidth="1"/>
    <col min="6" max="7" width="17.6640625" style="1" customWidth="1"/>
    <col min="8" max="8" width="16.33203125" style="1" customWidth="1"/>
    <col min="9" max="9" width="5.44140625" style="1" customWidth="1"/>
    <col min="10" max="16384" width="27.88671875" style="1"/>
  </cols>
  <sheetData>
    <row r="2" spans="2:7" ht="23.4" x14ac:dyDescent="0.25">
      <c r="B2" s="2" t="s">
        <v>0</v>
      </c>
      <c r="F2" s="48" t="s">
        <v>1</v>
      </c>
      <c r="G2" s="48"/>
    </row>
    <row r="3" spans="2:7" x14ac:dyDescent="0.25">
      <c r="B3" s="3"/>
      <c r="D3" s="49" t="s">
        <v>2</v>
      </c>
      <c r="E3" s="49"/>
      <c r="F3" s="4" t="e">
        <f ca="1">_xll.EPMContextMember(,"TIME",,1)</f>
        <v>#NAME?</v>
      </c>
    </row>
    <row r="4" spans="2:7" x14ac:dyDescent="0.25">
      <c r="B4" s="3"/>
      <c r="D4" s="50" t="s">
        <v>3</v>
      </c>
      <c r="E4" s="50"/>
      <c r="F4" s="5" t="e">
        <f ca="1">_xll.EPMContextMember(,"SCOPE",,1)</f>
        <v>#NAME?</v>
      </c>
    </row>
    <row r="5" spans="2:7" x14ac:dyDescent="0.25">
      <c r="B5" s="3"/>
      <c r="D5" s="50" t="s">
        <v>4</v>
      </c>
      <c r="E5" s="50"/>
      <c r="F5" s="5" t="e">
        <f ca="1">_xll.EPMContextMember(,"ENTITY",C22,TRUE)</f>
        <v>#NAME?</v>
      </c>
    </row>
    <row r="6" spans="2:7" x14ac:dyDescent="0.25">
      <c r="B6" s="6"/>
      <c r="D6" s="50" t="s">
        <v>5</v>
      </c>
      <c r="E6" s="50"/>
      <c r="F6" s="5" t="e">
        <f ca="1">_xll.EPMContextMember(,"AUDITID",B22,TRUE)</f>
        <v>#NAME?</v>
      </c>
    </row>
    <row r="7" spans="2:7" ht="18.75" customHeight="1" x14ac:dyDescent="0.25">
      <c r="B7" s="46" t="s">
        <v>6</v>
      </c>
      <c r="C7" s="47"/>
      <c r="D7" s="7"/>
      <c r="E7" s="7"/>
      <c r="F7" s="8"/>
    </row>
    <row r="8" spans="2:7" x14ac:dyDescent="0.25">
      <c r="B8" s="9"/>
      <c r="C8" s="10"/>
      <c r="D8" s="52" t="s">
        <v>7</v>
      </c>
      <c r="E8" s="11" t="s">
        <v>8</v>
      </c>
      <c r="F8" s="12" t="s">
        <v>9</v>
      </c>
      <c r="G8" s="12" t="s">
        <v>10</v>
      </c>
    </row>
    <row r="9" spans="2:7" ht="21" hidden="1" customHeight="1" x14ac:dyDescent="0.25">
      <c r="B9" s="9"/>
      <c r="C9" s="10"/>
    </row>
    <row r="10" spans="2:7" ht="21" hidden="1" customHeight="1" x14ac:dyDescent="0.25">
      <c r="B10" s="3" t="s">
        <v>11</v>
      </c>
      <c r="C10" s="3"/>
    </row>
    <row r="11" spans="2:7" ht="21" hidden="1" customHeight="1" x14ac:dyDescent="0.25">
      <c r="B11" s="3" t="s">
        <v>12</v>
      </c>
      <c r="C11" s="3"/>
      <c r="F11" s="13" t="e">
        <f ca="1" xml:space="preserve"> _xll.EPMOlapMemberO("[TIME].[PARENTH1].[2019.04]","","2019.04 - 2019年4月","","000")</f>
        <v>#NAME?</v>
      </c>
      <c r="G11" s="13" t="e">
        <f ca="1" xml:space="preserve"> _xll.EPMOlapMemberO("[TIME].[PARENTH1].[2019.04]","","2019.04 - 2019年4月","","000")</f>
        <v>#NAME?</v>
      </c>
    </row>
    <row r="12" spans="2:7" ht="14.25" hidden="1" customHeight="1" x14ac:dyDescent="0.25">
      <c r="B12" s="3" t="s">
        <v>13</v>
      </c>
      <c r="C12" s="3"/>
      <c r="D12" s="53" t="s">
        <v>7</v>
      </c>
      <c r="E12" s="14" t="s">
        <v>8</v>
      </c>
      <c r="F12" s="13" t="e">
        <f ca="1" xml:space="preserve"> _xll.EPMOlapMemberO("[FLOW].[PARENTH1].[F01]","","F01 - 期初","","000")</f>
        <v>#NAME?</v>
      </c>
      <c r="G12" s="13" t="e">
        <f ca="1" xml:space="preserve"> _xll.EPMOlapMemberO("[FLOW].[PARENTH1].[F99]","","期末数","","000")</f>
        <v>#NAME?</v>
      </c>
    </row>
    <row r="13" spans="2:7" x14ac:dyDescent="0.25">
      <c r="B13" s="3" t="s">
        <v>14</v>
      </c>
      <c r="C13" s="3" t="e">
        <f ca="1">_xll.EPMContextMember(,"SCOPE",,FALSE)</f>
        <v>#NAME?</v>
      </c>
      <c r="D13" s="54" t="s">
        <v>411</v>
      </c>
      <c r="E13" s="16">
        <v>1</v>
      </c>
      <c r="F13" s="17">
        <v>1</v>
      </c>
      <c r="G13" s="17">
        <v>201</v>
      </c>
    </row>
    <row r="14" spans="2:7" x14ac:dyDescent="0.25">
      <c r="B14" s="3" t="str">
        <f>B10&amp;";"&amp;B11&amp;";"&amp;B12&amp;";"&amp;B13</f>
        <v>ID=LC_GRP;ID=LC_STD;ID=LC_ADT;ID=INPUT_GL</v>
      </c>
      <c r="C14" s="3" t="e">
        <f ca="1">"ID="&amp;C15</f>
        <v>#NAME?</v>
      </c>
      <c r="D14" s="55" t="s">
        <v>412</v>
      </c>
      <c r="E14" s="16">
        <v>2</v>
      </c>
      <c r="F14" s="19">
        <v>2</v>
      </c>
      <c r="G14" s="19">
        <v>202</v>
      </c>
    </row>
    <row r="15" spans="2:7" x14ac:dyDescent="0.25">
      <c r="B15" s="3" t="s">
        <v>15</v>
      </c>
      <c r="C15" s="1" t="e">
        <f ca="1">RIGHT(C13,5)</f>
        <v>#NAME?</v>
      </c>
      <c r="D15" s="55" t="s">
        <v>413</v>
      </c>
      <c r="E15" s="16">
        <v>3</v>
      </c>
      <c r="F15" s="19">
        <v>3</v>
      </c>
      <c r="G15" s="19">
        <v>203</v>
      </c>
    </row>
    <row r="16" spans="2:7" x14ac:dyDescent="0.25">
      <c r="B16" s="3" t="s">
        <v>16</v>
      </c>
      <c r="D16" s="55" t="s">
        <v>414</v>
      </c>
      <c r="E16" s="16">
        <v>4</v>
      </c>
      <c r="F16" s="19">
        <v>4</v>
      </c>
      <c r="G16" s="19">
        <v>204</v>
      </c>
    </row>
    <row r="17" spans="2:8" x14ac:dyDescent="0.25">
      <c r="B17" s="3" t="s">
        <v>17</v>
      </c>
      <c r="D17" s="55" t="s">
        <v>415</v>
      </c>
      <c r="E17" s="16">
        <v>5</v>
      </c>
      <c r="F17" s="19">
        <v>5</v>
      </c>
      <c r="G17" s="19">
        <v>205</v>
      </c>
    </row>
    <row r="18" spans="2:8" x14ac:dyDescent="0.25">
      <c r="B18" s="3" t="s">
        <v>18</v>
      </c>
      <c r="D18" s="55" t="s">
        <v>416</v>
      </c>
      <c r="E18" s="16">
        <v>6</v>
      </c>
      <c r="F18" s="19">
        <v>6</v>
      </c>
      <c r="G18" s="19">
        <v>206</v>
      </c>
      <c r="H18" s="45"/>
    </row>
    <row r="19" spans="2:8" x14ac:dyDescent="0.25">
      <c r="B19" s="3" t="s">
        <v>19</v>
      </c>
      <c r="D19" s="55" t="s">
        <v>417</v>
      </c>
      <c r="E19" s="16">
        <v>7</v>
      </c>
      <c r="F19" s="19">
        <v>7</v>
      </c>
      <c r="G19" s="19">
        <v>207</v>
      </c>
    </row>
    <row r="20" spans="2:8" x14ac:dyDescent="0.25">
      <c r="B20" s="3" t="s">
        <v>20</v>
      </c>
      <c r="D20" s="55" t="s">
        <v>418</v>
      </c>
      <c r="E20" s="16">
        <v>8</v>
      </c>
      <c r="F20" s="19">
        <v>8</v>
      </c>
      <c r="G20" s="19">
        <v>208</v>
      </c>
    </row>
    <row r="21" spans="2:8" x14ac:dyDescent="0.25">
      <c r="B21" s="3" t="str">
        <f>B15&amp;";"&amp;B16&amp;";"&amp;B17&amp;";"&amp;B18&amp;";"&amp;B19&amp;";"&amp;B20</f>
        <v>ID=L_CON;ID=P_CON;ID=G_CON;ID=R_L_CON_DFL;ID=R_P_CON_DFL;ID=R_G_CON_DFL</v>
      </c>
      <c r="D21" s="55" t="s">
        <v>419</v>
      </c>
      <c r="E21" s="16">
        <v>9</v>
      </c>
      <c r="F21" s="19">
        <v>9</v>
      </c>
      <c r="G21" s="19">
        <v>209</v>
      </c>
    </row>
    <row r="22" spans="2:8" ht="14.4" x14ac:dyDescent="0.25">
      <c r="B22" s="3" t="e">
        <f ca="1">IF(C13="S_NONE",B14,B21)</f>
        <v>#NAME?</v>
      </c>
      <c r="C22" s="20" t="e">
        <f ca="1">IF(C13&lt;&gt;"S_NONE",C14,"")</f>
        <v>#NAME?</v>
      </c>
      <c r="D22" s="55" t="s">
        <v>420</v>
      </c>
      <c r="E22" s="16">
        <v>10</v>
      </c>
      <c r="F22" s="19">
        <v>21</v>
      </c>
      <c r="G22" s="19">
        <v>210</v>
      </c>
    </row>
    <row r="23" spans="2:8" x14ac:dyDescent="0.25">
      <c r="B23" s="3"/>
      <c r="D23" s="55" t="s">
        <v>421</v>
      </c>
      <c r="E23" s="16">
        <v>11</v>
      </c>
      <c r="F23" s="19">
        <v>22</v>
      </c>
      <c r="G23" s="19">
        <v>211</v>
      </c>
    </row>
    <row r="24" spans="2:8" x14ac:dyDescent="0.25">
      <c r="D24" s="55" t="s">
        <v>422</v>
      </c>
      <c r="E24" s="16">
        <v>12</v>
      </c>
      <c r="F24" s="19">
        <v>23</v>
      </c>
      <c r="G24" s="19">
        <v>212</v>
      </c>
    </row>
    <row r="25" spans="2:8" x14ac:dyDescent="0.25">
      <c r="C25" s="3"/>
      <c r="D25" s="55" t="s">
        <v>423</v>
      </c>
      <c r="E25" s="16">
        <v>13</v>
      </c>
      <c r="F25" s="19">
        <v>24</v>
      </c>
      <c r="G25" s="19">
        <v>213</v>
      </c>
    </row>
    <row r="26" spans="2:8" x14ac:dyDescent="0.25">
      <c r="D26" s="55" t="s">
        <v>424</v>
      </c>
      <c r="E26" s="16">
        <v>14</v>
      </c>
      <c r="F26" s="19">
        <v>25</v>
      </c>
      <c r="G26" s="19">
        <v>214</v>
      </c>
    </row>
    <row r="27" spans="2:8" x14ac:dyDescent="0.25">
      <c r="D27" s="55" t="s">
        <v>425</v>
      </c>
      <c r="E27" s="16">
        <v>15</v>
      </c>
      <c r="F27" s="19">
        <v>26</v>
      </c>
      <c r="G27" s="19">
        <v>215</v>
      </c>
    </row>
    <row r="28" spans="2:8" ht="14.4" x14ac:dyDescent="0.25">
      <c r="C28" s="21"/>
      <c r="D28" s="55" t="s">
        <v>426</v>
      </c>
      <c r="E28" s="16">
        <v>16</v>
      </c>
      <c r="F28" s="19">
        <v>27</v>
      </c>
      <c r="G28" s="19">
        <v>216</v>
      </c>
    </row>
    <row r="29" spans="2:8" x14ac:dyDescent="0.25">
      <c r="D29" s="56" t="s">
        <v>427</v>
      </c>
      <c r="E29" s="16">
        <v>17</v>
      </c>
      <c r="F29" s="19">
        <v>28</v>
      </c>
      <c r="G29" s="19">
        <v>217</v>
      </c>
    </row>
    <row r="30" spans="2:8" x14ac:dyDescent="0.25">
      <c r="D30" s="57" t="s">
        <v>428</v>
      </c>
      <c r="E30" s="16">
        <v>18</v>
      </c>
      <c r="F30" s="19">
        <v>29</v>
      </c>
      <c r="G30" s="19">
        <v>218</v>
      </c>
    </row>
    <row r="31" spans="2:8" hidden="1" x14ac:dyDescent="0.25">
      <c r="D31" s="56" t="s">
        <v>429</v>
      </c>
      <c r="E31" s="16"/>
      <c r="F31" s="19">
        <v>30</v>
      </c>
      <c r="G31" s="19">
        <v>219</v>
      </c>
    </row>
    <row r="32" spans="2:8" hidden="1" x14ac:dyDescent="0.25">
      <c r="D32" s="59" t="s">
        <v>430</v>
      </c>
      <c r="E32" s="16"/>
      <c r="F32" s="19">
        <v>31</v>
      </c>
      <c r="G32" s="19">
        <v>220</v>
      </c>
    </row>
    <row r="33" spans="4:7" hidden="1" x14ac:dyDescent="0.25">
      <c r="D33" s="59" t="s">
        <v>431</v>
      </c>
      <c r="E33" s="16"/>
      <c r="F33" s="19">
        <v>32</v>
      </c>
      <c r="G33" s="19">
        <v>221</v>
      </c>
    </row>
    <row r="34" spans="4:7" hidden="1" x14ac:dyDescent="0.25">
      <c r="D34" s="59" t="s">
        <v>432</v>
      </c>
      <c r="E34" s="16"/>
      <c r="F34" s="19">
        <v>33</v>
      </c>
      <c r="G34" s="19">
        <v>222</v>
      </c>
    </row>
    <row r="35" spans="4:7" x14ac:dyDescent="0.25">
      <c r="D35" s="55" t="s">
        <v>433</v>
      </c>
      <c r="E35" s="16">
        <v>19</v>
      </c>
      <c r="F35" s="19">
        <v>34</v>
      </c>
      <c r="G35" s="19">
        <v>223</v>
      </c>
    </row>
    <row r="36" spans="4:7" x14ac:dyDescent="0.25">
      <c r="D36" s="55" t="s">
        <v>434</v>
      </c>
      <c r="E36" s="16">
        <v>20</v>
      </c>
      <c r="F36" s="19">
        <v>35</v>
      </c>
      <c r="G36" s="19">
        <v>224</v>
      </c>
    </row>
    <row r="37" spans="4:7" x14ac:dyDescent="0.25">
      <c r="D37" s="55" t="s">
        <v>435</v>
      </c>
      <c r="E37" s="16">
        <v>21</v>
      </c>
      <c r="F37" s="19">
        <v>36</v>
      </c>
      <c r="G37" s="19">
        <v>225</v>
      </c>
    </row>
    <row r="38" spans="4:7" x14ac:dyDescent="0.25">
      <c r="D38" s="55" t="s">
        <v>436</v>
      </c>
      <c r="E38" s="16">
        <v>22</v>
      </c>
      <c r="F38" s="19">
        <v>37</v>
      </c>
      <c r="G38" s="19">
        <v>226</v>
      </c>
    </row>
    <row r="39" spans="4:7" x14ac:dyDescent="0.25">
      <c r="D39" s="55" t="s">
        <v>410</v>
      </c>
      <c r="E39" s="16">
        <v>23</v>
      </c>
      <c r="F39" s="19">
        <v>38</v>
      </c>
      <c r="G39" s="19">
        <v>227</v>
      </c>
    </row>
    <row r="40" spans="4:7" x14ac:dyDescent="0.25">
      <c r="D40" s="55" t="s">
        <v>438</v>
      </c>
      <c r="E40" s="16">
        <v>24</v>
      </c>
      <c r="F40" s="19">
        <v>39</v>
      </c>
      <c r="G40" s="19">
        <v>228</v>
      </c>
    </row>
    <row r="41" spans="4:7" x14ac:dyDescent="0.25">
      <c r="D41" s="58" t="s">
        <v>439</v>
      </c>
      <c r="E41" s="16">
        <v>25</v>
      </c>
      <c r="F41" s="26">
        <v>40</v>
      </c>
      <c r="G41" s="26">
        <v>229</v>
      </c>
    </row>
    <row r="42" spans="4:7" x14ac:dyDescent="0.25">
      <c r="D42" s="54" t="s">
        <v>440</v>
      </c>
      <c r="E42" s="16">
        <v>26</v>
      </c>
      <c r="F42" s="17">
        <v>41</v>
      </c>
      <c r="G42" s="17">
        <v>230</v>
      </c>
    </row>
    <row r="43" spans="4:7" x14ac:dyDescent="0.25">
      <c r="D43" s="55" t="s">
        <v>441</v>
      </c>
      <c r="E43" s="16">
        <v>27</v>
      </c>
      <c r="F43" s="19">
        <v>42</v>
      </c>
      <c r="G43" s="19">
        <v>231</v>
      </c>
    </row>
    <row r="44" spans="4:7" x14ac:dyDescent="0.25">
      <c r="D44" s="55" t="s">
        <v>442</v>
      </c>
      <c r="E44" s="16">
        <v>28</v>
      </c>
      <c r="F44" s="19">
        <v>43</v>
      </c>
      <c r="G44" s="19">
        <v>232</v>
      </c>
    </row>
    <row r="45" spans="4:7" x14ac:dyDescent="0.25">
      <c r="D45" s="55" t="s">
        <v>443</v>
      </c>
      <c r="E45" s="16">
        <v>29</v>
      </c>
      <c r="F45" s="19">
        <v>44</v>
      </c>
      <c r="G45" s="19">
        <v>233</v>
      </c>
    </row>
    <row r="46" spans="4:7" x14ac:dyDescent="0.25">
      <c r="D46" s="55" t="s">
        <v>444</v>
      </c>
      <c r="E46" s="16">
        <v>30</v>
      </c>
      <c r="F46" s="19">
        <v>45</v>
      </c>
      <c r="G46" s="19">
        <v>234</v>
      </c>
    </row>
    <row r="47" spans="4:7" x14ac:dyDescent="0.25">
      <c r="D47" s="55" t="s">
        <v>445</v>
      </c>
      <c r="E47" s="16">
        <v>31</v>
      </c>
      <c r="F47" s="19">
        <v>46</v>
      </c>
      <c r="G47" s="19">
        <v>235</v>
      </c>
    </row>
    <row r="48" spans="4:7" x14ac:dyDescent="0.25">
      <c r="D48" s="56" t="s">
        <v>446</v>
      </c>
      <c r="E48" s="16">
        <v>32</v>
      </c>
      <c r="F48" s="19">
        <v>47</v>
      </c>
      <c r="G48" s="19">
        <v>236</v>
      </c>
    </row>
    <row r="49" spans="4:7" x14ac:dyDescent="0.25">
      <c r="D49" s="55" t="s">
        <v>447</v>
      </c>
      <c r="E49" s="16">
        <v>33</v>
      </c>
      <c r="F49" s="19">
        <v>48</v>
      </c>
      <c r="G49" s="19">
        <v>237</v>
      </c>
    </row>
    <row r="50" spans="4:7" x14ac:dyDescent="0.25">
      <c r="D50" s="59" t="s">
        <v>448</v>
      </c>
      <c r="E50" s="16">
        <v>34</v>
      </c>
      <c r="F50" s="19">
        <v>49</v>
      </c>
      <c r="G50" s="19">
        <v>238</v>
      </c>
    </row>
    <row r="51" spans="4:7" x14ac:dyDescent="0.25">
      <c r="D51" s="59" t="s">
        <v>449</v>
      </c>
      <c r="E51" s="16">
        <v>35</v>
      </c>
      <c r="F51" s="19">
        <v>50</v>
      </c>
      <c r="G51" s="19">
        <v>239</v>
      </c>
    </row>
    <row r="52" spans="4:7" x14ac:dyDescent="0.25">
      <c r="D52" s="56" t="s">
        <v>450</v>
      </c>
      <c r="E52" s="16">
        <v>36</v>
      </c>
      <c r="F52" s="19">
        <v>51</v>
      </c>
      <c r="G52" s="19">
        <v>240</v>
      </c>
    </row>
    <row r="53" spans="4:7" x14ac:dyDescent="0.25">
      <c r="D53" s="56" t="s">
        <v>451</v>
      </c>
      <c r="E53" s="16">
        <v>37</v>
      </c>
      <c r="F53" s="19">
        <v>52</v>
      </c>
      <c r="G53" s="19">
        <v>241</v>
      </c>
    </row>
    <row r="54" spans="4:7" x14ac:dyDescent="0.25">
      <c r="D54" s="55" t="s">
        <v>452</v>
      </c>
      <c r="E54" s="16">
        <v>38</v>
      </c>
      <c r="F54" s="19">
        <v>53</v>
      </c>
      <c r="G54" s="19">
        <v>242</v>
      </c>
    </row>
    <row r="55" spans="4:7" x14ac:dyDescent="0.25">
      <c r="D55" s="55" t="s">
        <v>453</v>
      </c>
      <c r="E55" s="16">
        <v>39</v>
      </c>
      <c r="F55" s="19">
        <v>54</v>
      </c>
      <c r="G55" s="19">
        <v>243</v>
      </c>
    </row>
    <row r="56" spans="4:7" x14ac:dyDescent="0.25">
      <c r="D56" s="55" t="s">
        <v>454</v>
      </c>
      <c r="E56" s="16">
        <v>40</v>
      </c>
      <c r="F56" s="19">
        <v>55</v>
      </c>
      <c r="G56" s="19">
        <v>244</v>
      </c>
    </row>
    <row r="57" spans="4:7" x14ac:dyDescent="0.25">
      <c r="D57" s="55" t="s">
        <v>455</v>
      </c>
      <c r="E57" s="16">
        <v>41</v>
      </c>
      <c r="F57" s="19">
        <v>56</v>
      </c>
      <c r="G57" s="19">
        <v>245</v>
      </c>
    </row>
    <row r="58" spans="4:7" x14ac:dyDescent="0.25">
      <c r="D58" s="55" t="s">
        <v>456</v>
      </c>
      <c r="E58" s="16">
        <v>42</v>
      </c>
      <c r="F58" s="19">
        <v>57</v>
      </c>
      <c r="G58" s="19">
        <v>246</v>
      </c>
    </row>
    <row r="59" spans="4:7" x14ac:dyDescent="0.25">
      <c r="D59" s="55" t="s">
        <v>457</v>
      </c>
      <c r="E59" s="16">
        <v>43</v>
      </c>
      <c r="F59" s="19">
        <v>58</v>
      </c>
      <c r="G59" s="19">
        <v>247</v>
      </c>
    </row>
    <row r="60" spans="4:7" x14ac:dyDescent="0.25">
      <c r="D60" s="55" t="s">
        <v>458</v>
      </c>
      <c r="E60" s="16">
        <v>44</v>
      </c>
      <c r="F60" s="19">
        <v>59</v>
      </c>
      <c r="G60" s="19">
        <v>248</v>
      </c>
    </row>
    <row r="61" spans="4:7" x14ac:dyDescent="0.25">
      <c r="D61" s="55" t="s">
        <v>459</v>
      </c>
      <c r="E61" s="16">
        <v>45</v>
      </c>
      <c r="F61" s="19">
        <v>60</v>
      </c>
      <c r="G61" s="19">
        <v>249</v>
      </c>
    </row>
    <row r="62" spans="4:7" x14ac:dyDescent="0.25">
      <c r="D62" s="55" t="s">
        <v>460</v>
      </c>
      <c r="E62" s="16">
        <v>46</v>
      </c>
      <c r="F62" s="19">
        <v>61</v>
      </c>
      <c r="G62" s="19">
        <v>250</v>
      </c>
    </row>
    <row r="63" spans="4:7" x14ac:dyDescent="0.25">
      <c r="D63" s="55" t="s">
        <v>461</v>
      </c>
      <c r="E63" s="16">
        <v>47</v>
      </c>
      <c r="F63" s="19">
        <v>62</v>
      </c>
      <c r="G63" s="19">
        <v>251</v>
      </c>
    </row>
    <row r="64" spans="4:7" x14ac:dyDescent="0.25">
      <c r="D64" s="55" t="s">
        <v>462</v>
      </c>
      <c r="E64" s="16">
        <v>48</v>
      </c>
      <c r="F64" s="19">
        <v>63</v>
      </c>
      <c r="G64" s="19">
        <v>252</v>
      </c>
    </row>
    <row r="65" spans="4:7" x14ac:dyDescent="0.25">
      <c r="D65" s="55" t="s">
        <v>463</v>
      </c>
      <c r="E65" s="16">
        <v>49</v>
      </c>
      <c r="F65" s="19">
        <v>64</v>
      </c>
      <c r="G65" s="19">
        <v>253</v>
      </c>
    </row>
    <row r="66" spans="4:7" x14ac:dyDescent="0.25">
      <c r="D66" s="58" t="s">
        <v>464</v>
      </c>
      <c r="E66" s="16">
        <v>50</v>
      </c>
      <c r="F66" s="26">
        <v>65</v>
      </c>
      <c r="G66" s="26">
        <v>254</v>
      </c>
    </row>
    <row r="67" spans="4:7" x14ac:dyDescent="0.25">
      <c r="D67" s="60" t="s">
        <v>465</v>
      </c>
      <c r="E67" s="16">
        <v>51</v>
      </c>
      <c r="F67" s="26">
        <v>66</v>
      </c>
      <c r="G67" s="26">
        <v>255</v>
      </c>
    </row>
    <row r="68" spans="4:7" x14ac:dyDescent="0.25">
      <c r="D68" s="54" t="s">
        <v>466</v>
      </c>
      <c r="E68" s="16">
        <v>52</v>
      </c>
      <c r="F68" s="17">
        <v>67</v>
      </c>
      <c r="G68" s="17">
        <v>256</v>
      </c>
    </row>
    <row r="69" spans="4:7" x14ac:dyDescent="0.25">
      <c r="D69" s="56" t="s">
        <v>467</v>
      </c>
      <c r="E69" s="16">
        <v>53</v>
      </c>
      <c r="F69" s="19">
        <v>68</v>
      </c>
      <c r="G69" s="19">
        <v>257</v>
      </c>
    </row>
    <row r="70" spans="4:7" x14ac:dyDescent="0.25">
      <c r="D70" s="56" t="s">
        <v>468</v>
      </c>
      <c r="E70" s="16">
        <v>54</v>
      </c>
      <c r="F70" s="19">
        <v>69</v>
      </c>
      <c r="G70" s="19">
        <v>258</v>
      </c>
    </row>
    <row r="71" spans="4:7" x14ac:dyDescent="0.25">
      <c r="D71" s="56" t="s">
        <v>469</v>
      </c>
      <c r="E71" s="16">
        <v>55</v>
      </c>
      <c r="F71" s="19">
        <v>70</v>
      </c>
      <c r="G71" s="19">
        <v>259</v>
      </c>
    </row>
    <row r="72" spans="4:7" x14ac:dyDescent="0.25">
      <c r="D72" s="56" t="s">
        <v>470</v>
      </c>
      <c r="E72" s="16">
        <v>56</v>
      </c>
      <c r="F72" s="19">
        <v>71</v>
      </c>
      <c r="G72" s="19">
        <v>260</v>
      </c>
    </row>
    <row r="73" spans="4:7" x14ac:dyDescent="0.25">
      <c r="D73" s="56" t="s">
        <v>471</v>
      </c>
      <c r="E73" s="16">
        <v>57</v>
      </c>
      <c r="F73" s="19">
        <v>72</v>
      </c>
      <c r="G73" s="19">
        <v>261</v>
      </c>
    </row>
    <row r="74" spans="4:7" x14ac:dyDescent="0.25">
      <c r="D74" s="56" t="s">
        <v>472</v>
      </c>
      <c r="E74" s="16">
        <v>58</v>
      </c>
      <c r="F74" s="19">
        <v>73</v>
      </c>
      <c r="G74" s="19">
        <v>262</v>
      </c>
    </row>
    <row r="75" spans="4:7" x14ac:dyDescent="0.25">
      <c r="D75" s="56" t="s">
        <v>473</v>
      </c>
      <c r="E75" s="16">
        <v>59</v>
      </c>
      <c r="F75" s="19">
        <v>74</v>
      </c>
      <c r="G75" s="19">
        <v>263</v>
      </c>
    </row>
    <row r="76" spans="4:7" x14ac:dyDescent="0.25">
      <c r="D76" s="56" t="s">
        <v>474</v>
      </c>
      <c r="E76" s="16">
        <v>60</v>
      </c>
      <c r="F76" s="19">
        <v>75</v>
      </c>
      <c r="G76" s="19">
        <v>264</v>
      </c>
    </row>
    <row r="77" spans="4:7" x14ac:dyDescent="0.25">
      <c r="D77" s="56" t="s">
        <v>475</v>
      </c>
      <c r="E77" s="16">
        <v>61</v>
      </c>
      <c r="F77" s="19">
        <v>76</v>
      </c>
      <c r="G77" s="19">
        <v>265</v>
      </c>
    </row>
    <row r="78" spans="4:7" x14ac:dyDescent="0.25">
      <c r="D78" s="56" t="s">
        <v>476</v>
      </c>
      <c r="E78" s="16">
        <v>62</v>
      </c>
      <c r="F78" s="19">
        <v>77</v>
      </c>
      <c r="G78" s="19">
        <v>266</v>
      </c>
    </row>
    <row r="79" spans="4:7" x14ac:dyDescent="0.25">
      <c r="D79" s="56" t="s">
        <v>477</v>
      </c>
      <c r="E79" s="16">
        <v>63</v>
      </c>
      <c r="F79" s="19">
        <v>78</v>
      </c>
      <c r="G79" s="19">
        <v>267</v>
      </c>
    </row>
    <row r="80" spans="4:7" x14ac:dyDescent="0.25">
      <c r="D80" s="56" t="s">
        <v>478</v>
      </c>
      <c r="E80" s="16">
        <v>64</v>
      </c>
      <c r="F80" s="19">
        <v>79</v>
      </c>
      <c r="G80" s="19">
        <v>268</v>
      </c>
    </row>
    <row r="81" spans="4:7" x14ac:dyDescent="0.25">
      <c r="D81" s="61" t="s">
        <v>479</v>
      </c>
      <c r="E81" s="16">
        <v>65</v>
      </c>
      <c r="F81" s="19">
        <v>80</v>
      </c>
      <c r="G81" s="19">
        <v>269</v>
      </c>
    </row>
    <row r="82" spans="4:7" x14ac:dyDescent="0.25">
      <c r="D82" s="61" t="s">
        <v>480</v>
      </c>
      <c r="E82" s="16">
        <v>66</v>
      </c>
      <c r="F82" s="19">
        <v>81</v>
      </c>
      <c r="G82" s="19">
        <v>270</v>
      </c>
    </row>
    <row r="83" spans="4:7" x14ac:dyDescent="0.25">
      <c r="D83" s="62" t="s">
        <v>481</v>
      </c>
      <c r="E83" s="16">
        <v>67</v>
      </c>
      <c r="F83" s="19">
        <v>82</v>
      </c>
      <c r="G83" s="19">
        <v>271</v>
      </c>
    </row>
    <row r="84" spans="4:7" x14ac:dyDescent="0.25">
      <c r="D84" s="56" t="s">
        <v>482</v>
      </c>
      <c r="E84" s="16">
        <v>68</v>
      </c>
      <c r="F84" s="19">
        <v>83</v>
      </c>
      <c r="G84" s="19">
        <v>272</v>
      </c>
    </row>
    <row r="85" spans="4:7" x14ac:dyDescent="0.25">
      <c r="D85" s="59" t="s">
        <v>483</v>
      </c>
      <c r="E85" s="16">
        <v>69</v>
      </c>
      <c r="F85" s="19">
        <v>84</v>
      </c>
      <c r="G85" s="19">
        <v>273</v>
      </c>
    </row>
    <row r="86" spans="4:7" x14ac:dyDescent="0.25">
      <c r="D86" s="56" t="s">
        <v>484</v>
      </c>
      <c r="E86" s="16">
        <v>70</v>
      </c>
      <c r="F86" s="19">
        <v>85</v>
      </c>
      <c r="G86" s="19">
        <v>274</v>
      </c>
    </row>
    <row r="87" spans="4:7" x14ac:dyDescent="0.25">
      <c r="D87" s="56" t="s">
        <v>485</v>
      </c>
      <c r="E87" s="16">
        <v>71</v>
      </c>
      <c r="F87" s="19">
        <v>86</v>
      </c>
      <c r="G87" s="19">
        <v>275</v>
      </c>
    </row>
    <row r="88" spans="4:7" x14ac:dyDescent="0.25">
      <c r="D88" s="56" t="s">
        <v>486</v>
      </c>
      <c r="E88" s="16">
        <v>72</v>
      </c>
      <c r="F88" s="19">
        <v>87</v>
      </c>
      <c r="G88" s="19">
        <v>276</v>
      </c>
    </row>
    <row r="89" spans="4:7" x14ac:dyDescent="0.25">
      <c r="D89" s="56" t="s">
        <v>487</v>
      </c>
      <c r="E89" s="16">
        <v>73</v>
      </c>
      <c r="F89" s="19">
        <v>88</v>
      </c>
      <c r="G89" s="19">
        <v>277</v>
      </c>
    </row>
    <row r="90" spans="4:7" x14ac:dyDescent="0.25">
      <c r="D90" s="56" t="s">
        <v>488</v>
      </c>
      <c r="E90" s="16">
        <v>74</v>
      </c>
      <c r="F90" s="19">
        <v>89</v>
      </c>
      <c r="G90" s="19">
        <v>278</v>
      </c>
    </row>
    <row r="91" spans="4:7" x14ac:dyDescent="0.25">
      <c r="D91" s="56" t="s">
        <v>489</v>
      </c>
      <c r="E91" s="16">
        <v>75</v>
      </c>
      <c r="F91" s="19">
        <v>90</v>
      </c>
      <c r="G91" s="19">
        <v>279</v>
      </c>
    </row>
    <row r="92" spans="4:7" x14ac:dyDescent="0.25">
      <c r="D92" s="56" t="s">
        <v>490</v>
      </c>
      <c r="E92" s="16">
        <v>76</v>
      </c>
      <c r="F92" s="19">
        <v>91</v>
      </c>
      <c r="G92" s="19">
        <v>280</v>
      </c>
    </row>
    <row r="93" spans="4:7" x14ac:dyDescent="0.25">
      <c r="D93" s="56" t="s">
        <v>491</v>
      </c>
      <c r="E93" s="16">
        <v>77</v>
      </c>
      <c r="F93" s="19">
        <v>92</v>
      </c>
      <c r="G93" s="19">
        <v>281</v>
      </c>
    </row>
    <row r="94" spans="4:7" x14ac:dyDescent="0.25">
      <c r="D94" s="56" t="s">
        <v>492</v>
      </c>
      <c r="E94" s="16">
        <v>78</v>
      </c>
      <c r="F94" s="19">
        <v>93</v>
      </c>
      <c r="G94" s="19">
        <v>282</v>
      </c>
    </row>
    <row r="95" spans="4:7" x14ac:dyDescent="0.25">
      <c r="D95" s="56" t="s">
        <v>493</v>
      </c>
      <c r="E95" s="16">
        <v>79</v>
      </c>
      <c r="F95" s="19">
        <v>94</v>
      </c>
      <c r="G95" s="19">
        <v>283</v>
      </c>
    </row>
    <row r="96" spans="4:7" x14ac:dyDescent="0.25">
      <c r="D96" s="56" t="s">
        <v>494</v>
      </c>
      <c r="E96" s="16">
        <v>80</v>
      </c>
      <c r="F96" s="19">
        <v>95</v>
      </c>
      <c r="G96" s="19">
        <v>284</v>
      </c>
    </row>
    <row r="97" spans="4:7" x14ac:dyDescent="0.25">
      <c r="D97" s="55" t="s">
        <v>495</v>
      </c>
      <c r="E97" s="16">
        <v>81</v>
      </c>
      <c r="F97" s="26">
        <v>96</v>
      </c>
      <c r="G97" s="26">
        <v>285</v>
      </c>
    </row>
    <row r="98" spans="4:7" x14ac:dyDescent="0.25">
      <c r="D98" s="54" t="s">
        <v>496</v>
      </c>
      <c r="E98" s="16">
        <v>82</v>
      </c>
      <c r="F98" s="17">
        <v>97</v>
      </c>
      <c r="G98" s="17">
        <v>286</v>
      </c>
    </row>
    <row r="99" spans="4:7" x14ac:dyDescent="0.25">
      <c r="D99" s="56" t="s">
        <v>497</v>
      </c>
      <c r="E99" s="16">
        <v>83</v>
      </c>
      <c r="F99" s="19">
        <v>98</v>
      </c>
      <c r="G99" s="19">
        <v>287</v>
      </c>
    </row>
    <row r="100" spans="4:7" x14ac:dyDescent="0.25">
      <c r="D100" s="56" t="s">
        <v>498</v>
      </c>
      <c r="E100" s="16">
        <v>84</v>
      </c>
      <c r="F100" s="19">
        <v>99</v>
      </c>
      <c r="G100" s="19">
        <v>288</v>
      </c>
    </row>
    <row r="101" spans="4:7" x14ac:dyDescent="0.25">
      <c r="D101" s="56" t="s">
        <v>499</v>
      </c>
      <c r="E101" s="16">
        <v>85</v>
      </c>
      <c r="F101" s="19">
        <v>100</v>
      </c>
      <c r="G101" s="19">
        <v>289</v>
      </c>
    </row>
    <row r="102" spans="4:7" x14ac:dyDescent="0.25">
      <c r="D102" s="56" t="s">
        <v>500</v>
      </c>
      <c r="E102" s="16">
        <v>86</v>
      </c>
      <c r="F102" s="19">
        <v>101</v>
      </c>
      <c r="G102" s="19">
        <v>290</v>
      </c>
    </row>
    <row r="103" spans="4:7" x14ac:dyDescent="0.25">
      <c r="D103" s="56" t="s">
        <v>501</v>
      </c>
      <c r="E103" s="16">
        <v>87</v>
      </c>
      <c r="F103" s="19">
        <v>102</v>
      </c>
      <c r="G103" s="19">
        <v>291</v>
      </c>
    </row>
    <row r="104" spans="4:7" x14ac:dyDescent="0.25">
      <c r="D104" s="56" t="s">
        <v>502</v>
      </c>
      <c r="E104" s="16">
        <v>88</v>
      </c>
      <c r="F104" s="19">
        <v>103</v>
      </c>
      <c r="G104" s="19">
        <v>292</v>
      </c>
    </row>
    <row r="105" spans="4:7" x14ac:dyDescent="0.25">
      <c r="D105" s="56" t="s">
        <v>503</v>
      </c>
      <c r="E105" s="16">
        <v>89</v>
      </c>
      <c r="F105" s="19">
        <v>104</v>
      </c>
      <c r="G105" s="19">
        <v>293</v>
      </c>
    </row>
    <row r="106" spans="4:7" x14ac:dyDescent="0.25">
      <c r="D106" s="56" t="s">
        <v>504</v>
      </c>
      <c r="E106" s="16">
        <v>90</v>
      </c>
      <c r="F106" s="19">
        <v>105</v>
      </c>
      <c r="G106" s="19">
        <v>294</v>
      </c>
    </row>
    <row r="107" spans="4:7" x14ac:dyDescent="0.25">
      <c r="D107" s="56" t="s">
        <v>505</v>
      </c>
      <c r="E107" s="16">
        <v>91</v>
      </c>
      <c r="F107" s="19">
        <v>106</v>
      </c>
      <c r="G107" s="19">
        <v>295</v>
      </c>
    </row>
    <row r="108" spans="4:7" x14ac:dyDescent="0.25">
      <c r="D108" s="55" t="s">
        <v>506</v>
      </c>
      <c r="E108" s="16">
        <v>92</v>
      </c>
      <c r="F108" s="26">
        <v>107</v>
      </c>
      <c r="G108" s="26">
        <v>296</v>
      </c>
    </row>
    <row r="109" spans="4:7" x14ac:dyDescent="0.25">
      <c r="D109" s="58" t="s">
        <v>507</v>
      </c>
      <c r="E109" s="16">
        <v>93</v>
      </c>
      <c r="F109" s="26">
        <v>108</v>
      </c>
      <c r="G109" s="26">
        <v>297</v>
      </c>
    </row>
    <row r="110" spans="4:7" x14ac:dyDescent="0.25">
      <c r="D110" s="57" t="s">
        <v>508</v>
      </c>
      <c r="E110" s="16">
        <v>94</v>
      </c>
      <c r="F110" s="19">
        <v>109</v>
      </c>
      <c r="G110" s="19">
        <v>298</v>
      </c>
    </row>
    <row r="111" spans="4:7" x14ac:dyDescent="0.25">
      <c r="D111" s="59" t="s">
        <v>509</v>
      </c>
      <c r="E111" s="16">
        <v>95</v>
      </c>
      <c r="F111" s="19">
        <v>110</v>
      </c>
      <c r="G111" s="19">
        <v>299</v>
      </c>
    </row>
    <row r="112" spans="4:7" x14ac:dyDescent="0.25">
      <c r="D112" s="63" t="s">
        <v>510</v>
      </c>
      <c r="E112" s="16">
        <v>96</v>
      </c>
      <c r="F112" s="19">
        <v>111</v>
      </c>
      <c r="G112" s="19">
        <v>300</v>
      </c>
    </row>
    <row r="113" spans="4:7" x14ac:dyDescent="0.25">
      <c r="D113" s="61" t="s">
        <v>511</v>
      </c>
      <c r="E113" s="16">
        <v>97</v>
      </c>
      <c r="F113" s="19">
        <v>112</v>
      </c>
      <c r="G113" s="19">
        <v>301</v>
      </c>
    </row>
    <row r="114" spans="4:7" x14ac:dyDescent="0.25">
      <c r="D114" s="63" t="s">
        <v>512</v>
      </c>
      <c r="E114" s="16">
        <v>98</v>
      </c>
      <c r="F114" s="19">
        <v>113</v>
      </c>
      <c r="G114" s="19">
        <v>302</v>
      </c>
    </row>
    <row r="115" spans="4:7" x14ac:dyDescent="0.25">
      <c r="D115" s="63" t="s">
        <v>513</v>
      </c>
      <c r="E115" s="16">
        <v>99</v>
      </c>
      <c r="F115" s="19">
        <v>114</v>
      </c>
      <c r="G115" s="19">
        <v>303</v>
      </c>
    </row>
    <row r="116" spans="4:7" x14ac:dyDescent="0.25">
      <c r="D116" s="61" t="s">
        <v>514</v>
      </c>
      <c r="E116" s="16">
        <v>100</v>
      </c>
      <c r="F116" s="19">
        <v>115</v>
      </c>
      <c r="G116" s="19">
        <v>304</v>
      </c>
    </row>
    <row r="117" spans="4:7" x14ac:dyDescent="0.25">
      <c r="D117" s="63" t="s">
        <v>515</v>
      </c>
      <c r="E117" s="16">
        <v>101</v>
      </c>
      <c r="F117" s="19">
        <v>116</v>
      </c>
      <c r="G117" s="19">
        <v>305</v>
      </c>
    </row>
    <row r="118" spans="4:7" x14ac:dyDescent="0.25">
      <c r="D118" s="59" t="s">
        <v>516</v>
      </c>
      <c r="E118" s="16">
        <v>102</v>
      </c>
      <c r="F118" s="19">
        <v>117</v>
      </c>
      <c r="G118" s="19">
        <v>306</v>
      </c>
    </row>
    <row r="119" spans="4:7" x14ac:dyDescent="0.25">
      <c r="D119" s="56" t="s">
        <v>517</v>
      </c>
      <c r="E119" s="16">
        <v>103</v>
      </c>
      <c r="F119" s="19">
        <v>118</v>
      </c>
      <c r="G119" s="19">
        <v>307</v>
      </c>
    </row>
    <row r="120" spans="4:7" x14ac:dyDescent="0.25">
      <c r="D120" s="56" t="s">
        <v>518</v>
      </c>
      <c r="E120" s="16">
        <v>104</v>
      </c>
      <c r="F120" s="19">
        <v>119</v>
      </c>
      <c r="G120" s="19">
        <v>308</v>
      </c>
    </row>
    <row r="121" spans="4:7" x14ac:dyDescent="0.25">
      <c r="D121" s="56" t="s">
        <v>519</v>
      </c>
      <c r="E121" s="16">
        <v>105</v>
      </c>
      <c r="F121" s="19">
        <v>120</v>
      </c>
      <c r="G121" s="19">
        <v>309</v>
      </c>
    </row>
    <row r="122" spans="4:7" x14ac:dyDescent="0.25">
      <c r="D122" s="56" t="s">
        <v>520</v>
      </c>
      <c r="E122" s="16">
        <v>106</v>
      </c>
      <c r="F122" s="19">
        <v>121</v>
      </c>
      <c r="G122" s="19">
        <v>310</v>
      </c>
    </row>
    <row r="123" spans="4:7" x14ac:dyDescent="0.25">
      <c r="D123" s="59" t="s">
        <v>521</v>
      </c>
      <c r="E123" s="16">
        <v>107</v>
      </c>
      <c r="F123" s="19">
        <v>122</v>
      </c>
      <c r="G123" s="19">
        <v>311</v>
      </c>
    </row>
    <row r="124" spans="4:7" x14ac:dyDescent="0.25">
      <c r="D124" s="56" t="s">
        <v>522</v>
      </c>
      <c r="E124" s="16">
        <v>108</v>
      </c>
      <c r="F124" s="19">
        <v>123</v>
      </c>
      <c r="G124" s="19">
        <v>312</v>
      </c>
    </row>
    <row r="125" spans="4:7" x14ac:dyDescent="0.25">
      <c r="D125" s="56" t="s">
        <v>523</v>
      </c>
      <c r="E125" s="16">
        <v>109</v>
      </c>
      <c r="F125" s="19">
        <v>124</v>
      </c>
      <c r="G125" s="19">
        <v>313</v>
      </c>
    </row>
    <row r="126" spans="4:7" x14ac:dyDescent="0.25">
      <c r="D126" s="59" t="s">
        <v>524</v>
      </c>
      <c r="E126" s="16">
        <v>110</v>
      </c>
      <c r="F126" s="19">
        <v>125</v>
      </c>
      <c r="G126" s="19">
        <v>314</v>
      </c>
    </row>
    <row r="127" spans="4:7" x14ac:dyDescent="0.25">
      <c r="D127" s="59" t="s">
        <v>525</v>
      </c>
      <c r="E127" s="16">
        <v>111</v>
      </c>
      <c r="F127" s="19">
        <v>126</v>
      </c>
      <c r="G127" s="19">
        <v>315</v>
      </c>
    </row>
    <row r="128" spans="4:7" x14ac:dyDescent="0.25">
      <c r="D128" s="59" t="s">
        <v>526</v>
      </c>
      <c r="E128" s="16">
        <v>112</v>
      </c>
      <c r="F128" s="19">
        <v>127</v>
      </c>
      <c r="G128" s="19">
        <v>316</v>
      </c>
    </row>
    <row r="129" spans="4:7" x14ac:dyDescent="0.25">
      <c r="D129" s="59" t="s">
        <v>527</v>
      </c>
      <c r="E129" s="16">
        <v>113</v>
      </c>
      <c r="F129" s="19">
        <v>128</v>
      </c>
      <c r="G129" s="19">
        <v>317</v>
      </c>
    </row>
    <row r="130" spans="4:7" x14ac:dyDescent="0.25">
      <c r="D130" s="59" t="s">
        <v>528</v>
      </c>
      <c r="E130" s="16">
        <v>114</v>
      </c>
      <c r="F130" s="19">
        <v>129</v>
      </c>
      <c r="G130" s="19">
        <v>318</v>
      </c>
    </row>
    <row r="131" spans="4:7" x14ac:dyDescent="0.25">
      <c r="D131" s="56" t="s">
        <v>529</v>
      </c>
      <c r="E131" s="16">
        <v>115</v>
      </c>
      <c r="F131" s="19">
        <v>130</v>
      </c>
      <c r="G131" s="19">
        <v>319</v>
      </c>
    </row>
    <row r="132" spans="4:7" x14ac:dyDescent="0.25">
      <c r="D132" s="56" t="s">
        <v>530</v>
      </c>
      <c r="E132" s="16">
        <v>116</v>
      </c>
      <c r="F132" s="19">
        <v>131</v>
      </c>
      <c r="G132" s="19">
        <v>320</v>
      </c>
    </row>
    <row r="133" spans="4:7" x14ac:dyDescent="0.25">
      <c r="D133" s="55" t="s">
        <v>531</v>
      </c>
      <c r="E133" s="16">
        <v>117</v>
      </c>
      <c r="F133" s="26">
        <v>132</v>
      </c>
      <c r="G133" s="26">
        <v>321</v>
      </c>
    </row>
    <row r="134" spans="4:7" x14ac:dyDescent="0.25">
      <c r="D134" s="55" t="s">
        <v>532</v>
      </c>
      <c r="E134" s="16">
        <v>118</v>
      </c>
      <c r="F134" s="19">
        <v>133</v>
      </c>
      <c r="G134" s="19">
        <v>322</v>
      </c>
    </row>
    <row r="135" spans="4:7" x14ac:dyDescent="0.25">
      <c r="D135" s="58" t="s">
        <v>533</v>
      </c>
      <c r="E135" s="16">
        <v>119</v>
      </c>
      <c r="F135" s="26">
        <v>134</v>
      </c>
      <c r="G135" s="26">
        <v>323</v>
      </c>
    </row>
    <row r="136" spans="4:7" x14ac:dyDescent="0.25">
      <c r="D136" s="60" t="s">
        <v>534</v>
      </c>
      <c r="E136" s="16">
        <v>120</v>
      </c>
      <c r="F136" s="26">
        <v>135</v>
      </c>
      <c r="G136" s="26">
        <v>324</v>
      </c>
    </row>
    <row r="137" spans="4:7" x14ac:dyDescent="0.25">
      <c r="D137" s="54" t="s">
        <v>535</v>
      </c>
      <c r="E137" s="16">
        <v>121</v>
      </c>
      <c r="F137" s="19">
        <v>136</v>
      </c>
      <c r="G137" s="19">
        <v>325</v>
      </c>
    </row>
  </sheetData>
  <mergeCells count="6">
    <mergeCell ref="B7:C7"/>
    <mergeCell ref="F2:G2"/>
    <mergeCell ref="D3:E3"/>
    <mergeCell ref="D4:E4"/>
    <mergeCell ref="D5:E5"/>
    <mergeCell ref="D6:E6"/>
  </mergeCells>
  <phoneticPr fontId="2" type="noConversion"/>
  <pageMargins left="0.7" right="0.7" top="0.75" bottom="0.75" header="0.3" footer="0.3"/>
  <pageSetup paperSize="9" orientation="portrait" r:id="rId1"/>
  <customProperties>
    <customPr name="EpmWorksheetKeyString_GUID" r:id="rId2"/>
  </customPropertie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B05BE29-1C30-44D4-A45A-E179B4338941}">
            <xm:f>$G$86=ORACLE_DATA!$D$72</xm:f>
            <x14:dxf>
              <fill>
                <patternFill>
                  <fgColor indexed="64"/>
                  <bgColor rgb="FF00B050"/>
                </patternFill>
              </fill>
            </x14:dxf>
          </x14:cfRule>
          <x14:cfRule type="expression" priority="1" id="{32A1F476-081D-4F0C-8041-AB823AF04322}">
            <xm:f>$G$86&lt;&gt;ORACLE_DATA!$D$72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G86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VN225"/>
  <sheetViews>
    <sheetView workbookViewId="0"/>
  </sheetViews>
  <sheetFormatPr defaultColWidth="8.21875" defaultRowHeight="13.8" x14ac:dyDescent="0.15"/>
  <cols>
    <col min="1" max="1" width="38.88671875" style="33" bestFit="1" customWidth="1"/>
    <col min="2" max="2" width="4.77734375" style="33" bestFit="1" customWidth="1"/>
    <col min="3" max="4" width="19" style="44" bestFit="1" customWidth="1"/>
    <col min="5" max="6" width="8.21875" style="33"/>
    <col min="257" max="257" width="45" bestFit="1" customWidth="1"/>
    <col min="258" max="258" width="4.33203125" bestFit="1" customWidth="1"/>
    <col min="259" max="260" width="10.88671875" customWidth="1"/>
    <col min="513" max="513" width="45" bestFit="1" customWidth="1"/>
    <col min="514" max="514" width="4.33203125" bestFit="1" customWidth="1"/>
    <col min="515" max="516" width="10.88671875" customWidth="1"/>
    <col min="769" max="769" width="45" bestFit="1" customWidth="1"/>
    <col min="770" max="770" width="4.33203125" bestFit="1" customWidth="1"/>
    <col min="771" max="772" width="10.88671875" customWidth="1"/>
    <col min="1025" max="1025" width="45" bestFit="1" customWidth="1"/>
    <col min="1026" max="1026" width="4.33203125" bestFit="1" customWidth="1"/>
    <col min="1027" max="1028" width="10.88671875" customWidth="1"/>
    <col min="1281" max="1281" width="45" bestFit="1" customWidth="1"/>
    <col min="1282" max="1282" width="4.33203125" bestFit="1" customWidth="1"/>
    <col min="1283" max="1284" width="10.88671875" customWidth="1"/>
    <col min="1537" max="1537" width="45" bestFit="1" customWidth="1"/>
    <col min="1538" max="1538" width="4.33203125" bestFit="1" customWidth="1"/>
    <col min="1539" max="1540" width="10.88671875" customWidth="1"/>
    <col min="1793" max="1793" width="45" bestFit="1" customWidth="1"/>
    <col min="1794" max="1794" width="4.33203125" bestFit="1" customWidth="1"/>
    <col min="1795" max="1796" width="10.88671875" customWidth="1"/>
    <col min="2049" max="2049" width="45" bestFit="1" customWidth="1"/>
    <col min="2050" max="2050" width="4.33203125" bestFit="1" customWidth="1"/>
    <col min="2051" max="2052" width="10.88671875" customWidth="1"/>
    <col min="2305" max="2305" width="45" bestFit="1" customWidth="1"/>
    <col min="2306" max="2306" width="4.33203125" bestFit="1" customWidth="1"/>
    <col min="2307" max="2308" width="10.88671875" customWidth="1"/>
    <col min="2561" max="2561" width="45" bestFit="1" customWidth="1"/>
    <col min="2562" max="2562" width="4.33203125" bestFit="1" customWidth="1"/>
    <col min="2563" max="2564" width="10.88671875" customWidth="1"/>
    <col min="2817" max="2817" width="45" bestFit="1" customWidth="1"/>
    <col min="2818" max="2818" width="4.33203125" bestFit="1" customWidth="1"/>
    <col min="2819" max="2820" width="10.88671875" customWidth="1"/>
    <col min="3073" max="3073" width="45" bestFit="1" customWidth="1"/>
    <col min="3074" max="3074" width="4.33203125" bestFit="1" customWidth="1"/>
    <col min="3075" max="3076" width="10.88671875" customWidth="1"/>
    <col min="3329" max="3329" width="45" bestFit="1" customWidth="1"/>
    <col min="3330" max="3330" width="4.33203125" bestFit="1" customWidth="1"/>
    <col min="3331" max="3332" width="10.88671875" customWidth="1"/>
    <col min="3585" max="3585" width="45" bestFit="1" customWidth="1"/>
    <col min="3586" max="3586" width="4.33203125" bestFit="1" customWidth="1"/>
    <col min="3587" max="3588" width="10.88671875" customWidth="1"/>
    <col min="3841" max="3841" width="45" bestFit="1" customWidth="1"/>
    <col min="3842" max="3842" width="4.33203125" bestFit="1" customWidth="1"/>
    <col min="3843" max="3844" width="10.88671875" customWidth="1"/>
    <col min="4097" max="4097" width="45" bestFit="1" customWidth="1"/>
    <col min="4098" max="4098" width="4.33203125" bestFit="1" customWidth="1"/>
    <col min="4099" max="4100" width="10.88671875" customWidth="1"/>
    <col min="4353" max="4353" width="45" bestFit="1" customWidth="1"/>
    <col min="4354" max="4354" width="4.33203125" bestFit="1" customWidth="1"/>
    <col min="4355" max="4356" width="10.88671875" customWidth="1"/>
    <col min="4609" max="4609" width="45" bestFit="1" customWidth="1"/>
    <col min="4610" max="4610" width="4.33203125" bestFit="1" customWidth="1"/>
    <col min="4611" max="4612" width="10.88671875" customWidth="1"/>
    <col min="4865" max="4865" width="45" bestFit="1" customWidth="1"/>
    <col min="4866" max="4866" width="4.33203125" bestFit="1" customWidth="1"/>
    <col min="4867" max="4868" width="10.88671875" customWidth="1"/>
    <col min="5121" max="5121" width="45" bestFit="1" customWidth="1"/>
    <col min="5122" max="5122" width="4.33203125" bestFit="1" customWidth="1"/>
    <col min="5123" max="5124" width="10.88671875" customWidth="1"/>
    <col min="5377" max="5377" width="45" bestFit="1" customWidth="1"/>
    <col min="5378" max="5378" width="4.33203125" bestFit="1" customWidth="1"/>
    <col min="5379" max="5380" width="10.88671875" customWidth="1"/>
    <col min="5633" max="5633" width="45" bestFit="1" customWidth="1"/>
    <col min="5634" max="5634" width="4.33203125" bestFit="1" customWidth="1"/>
    <col min="5635" max="5636" width="10.88671875" customWidth="1"/>
    <col min="5889" max="5889" width="45" bestFit="1" customWidth="1"/>
    <col min="5890" max="5890" width="4.33203125" bestFit="1" customWidth="1"/>
    <col min="5891" max="5892" width="10.88671875" customWidth="1"/>
    <col min="6145" max="6145" width="45" bestFit="1" customWidth="1"/>
    <col min="6146" max="6146" width="4.33203125" bestFit="1" customWidth="1"/>
    <col min="6147" max="6148" width="10.88671875" customWidth="1"/>
    <col min="6401" max="6401" width="45" bestFit="1" customWidth="1"/>
    <col min="6402" max="6402" width="4.33203125" bestFit="1" customWidth="1"/>
    <col min="6403" max="6404" width="10.88671875" customWidth="1"/>
    <col min="6657" max="6657" width="45" bestFit="1" customWidth="1"/>
    <col min="6658" max="6658" width="4.33203125" bestFit="1" customWidth="1"/>
    <col min="6659" max="6660" width="10.88671875" customWidth="1"/>
    <col min="6913" max="6913" width="45" bestFit="1" customWidth="1"/>
    <col min="6914" max="6914" width="4.33203125" bestFit="1" customWidth="1"/>
    <col min="6915" max="6916" width="10.88671875" customWidth="1"/>
    <col min="7169" max="7169" width="45" bestFit="1" customWidth="1"/>
    <col min="7170" max="7170" width="4.33203125" bestFit="1" customWidth="1"/>
    <col min="7171" max="7172" width="10.88671875" customWidth="1"/>
    <col min="7425" max="7425" width="45" bestFit="1" customWidth="1"/>
    <col min="7426" max="7426" width="4.33203125" bestFit="1" customWidth="1"/>
    <col min="7427" max="7428" width="10.88671875" customWidth="1"/>
    <col min="7681" max="7681" width="45" bestFit="1" customWidth="1"/>
    <col min="7682" max="7682" width="4.33203125" bestFit="1" customWidth="1"/>
    <col min="7683" max="7684" width="10.88671875" customWidth="1"/>
    <col min="7937" max="7937" width="45" bestFit="1" customWidth="1"/>
    <col min="7938" max="7938" width="4.33203125" bestFit="1" customWidth="1"/>
    <col min="7939" max="7940" width="10.88671875" customWidth="1"/>
    <col min="8193" max="8193" width="45" bestFit="1" customWidth="1"/>
    <col min="8194" max="8194" width="4.33203125" bestFit="1" customWidth="1"/>
    <col min="8195" max="8196" width="10.88671875" customWidth="1"/>
    <col min="8449" max="8449" width="45" bestFit="1" customWidth="1"/>
    <col min="8450" max="8450" width="4.33203125" bestFit="1" customWidth="1"/>
    <col min="8451" max="8452" width="10.88671875" customWidth="1"/>
    <col min="8705" max="8705" width="45" bestFit="1" customWidth="1"/>
    <col min="8706" max="8706" width="4.33203125" bestFit="1" customWidth="1"/>
    <col min="8707" max="8708" width="10.88671875" customWidth="1"/>
    <col min="8961" max="8961" width="45" bestFit="1" customWidth="1"/>
    <col min="8962" max="8962" width="4.33203125" bestFit="1" customWidth="1"/>
    <col min="8963" max="8964" width="10.88671875" customWidth="1"/>
    <col min="9217" max="9217" width="45" bestFit="1" customWidth="1"/>
    <col min="9218" max="9218" width="4.33203125" bestFit="1" customWidth="1"/>
    <col min="9219" max="9220" width="10.88671875" customWidth="1"/>
    <col min="9473" max="9473" width="45" bestFit="1" customWidth="1"/>
    <col min="9474" max="9474" width="4.33203125" bestFit="1" customWidth="1"/>
    <col min="9475" max="9476" width="10.88671875" customWidth="1"/>
    <col min="9729" max="9729" width="45" bestFit="1" customWidth="1"/>
    <col min="9730" max="9730" width="4.33203125" bestFit="1" customWidth="1"/>
    <col min="9731" max="9732" width="10.88671875" customWidth="1"/>
    <col min="9985" max="9985" width="45" bestFit="1" customWidth="1"/>
    <col min="9986" max="9986" width="4.33203125" bestFit="1" customWidth="1"/>
    <col min="9987" max="9988" width="10.88671875" customWidth="1"/>
    <col min="10241" max="10241" width="45" bestFit="1" customWidth="1"/>
    <col min="10242" max="10242" width="4.33203125" bestFit="1" customWidth="1"/>
    <col min="10243" max="10244" width="10.88671875" customWidth="1"/>
    <col min="10497" max="10497" width="45" bestFit="1" customWidth="1"/>
    <col min="10498" max="10498" width="4.33203125" bestFit="1" customWidth="1"/>
    <col min="10499" max="10500" width="10.88671875" customWidth="1"/>
    <col min="10753" max="10753" width="45" bestFit="1" customWidth="1"/>
    <col min="10754" max="10754" width="4.33203125" bestFit="1" customWidth="1"/>
    <col min="10755" max="10756" width="10.88671875" customWidth="1"/>
    <col min="11009" max="11009" width="45" bestFit="1" customWidth="1"/>
    <col min="11010" max="11010" width="4.33203125" bestFit="1" customWidth="1"/>
    <col min="11011" max="11012" width="10.88671875" customWidth="1"/>
    <col min="11265" max="11265" width="45" bestFit="1" customWidth="1"/>
    <col min="11266" max="11266" width="4.33203125" bestFit="1" customWidth="1"/>
    <col min="11267" max="11268" width="10.88671875" customWidth="1"/>
    <col min="11521" max="11521" width="45" bestFit="1" customWidth="1"/>
    <col min="11522" max="11522" width="4.33203125" bestFit="1" customWidth="1"/>
    <col min="11523" max="11524" width="10.88671875" customWidth="1"/>
    <col min="11777" max="11777" width="45" bestFit="1" customWidth="1"/>
    <col min="11778" max="11778" width="4.33203125" bestFit="1" customWidth="1"/>
    <col min="11779" max="11780" width="10.88671875" customWidth="1"/>
    <col min="12033" max="12033" width="45" bestFit="1" customWidth="1"/>
    <col min="12034" max="12034" width="4.33203125" bestFit="1" customWidth="1"/>
    <col min="12035" max="12036" width="10.88671875" customWidth="1"/>
    <col min="12289" max="12289" width="45" bestFit="1" customWidth="1"/>
    <col min="12290" max="12290" width="4.33203125" bestFit="1" customWidth="1"/>
    <col min="12291" max="12292" width="10.88671875" customWidth="1"/>
    <col min="12545" max="12545" width="45" bestFit="1" customWidth="1"/>
    <col min="12546" max="12546" width="4.33203125" bestFit="1" customWidth="1"/>
    <col min="12547" max="12548" width="10.88671875" customWidth="1"/>
    <col min="12801" max="12801" width="45" bestFit="1" customWidth="1"/>
    <col min="12802" max="12802" width="4.33203125" bestFit="1" customWidth="1"/>
    <col min="12803" max="12804" width="10.88671875" customWidth="1"/>
    <col min="13057" max="13057" width="45" bestFit="1" customWidth="1"/>
    <col min="13058" max="13058" width="4.33203125" bestFit="1" customWidth="1"/>
    <col min="13059" max="13060" width="10.88671875" customWidth="1"/>
    <col min="13313" max="13313" width="45" bestFit="1" customWidth="1"/>
    <col min="13314" max="13314" width="4.33203125" bestFit="1" customWidth="1"/>
    <col min="13315" max="13316" width="10.88671875" customWidth="1"/>
    <col min="13569" max="13569" width="45" bestFit="1" customWidth="1"/>
    <col min="13570" max="13570" width="4.33203125" bestFit="1" customWidth="1"/>
    <col min="13571" max="13572" width="10.88671875" customWidth="1"/>
    <col min="13825" max="13825" width="45" bestFit="1" customWidth="1"/>
    <col min="13826" max="13826" width="4.33203125" bestFit="1" customWidth="1"/>
    <col min="13827" max="13828" width="10.88671875" customWidth="1"/>
    <col min="14081" max="14081" width="45" bestFit="1" customWidth="1"/>
    <col min="14082" max="14082" width="4.33203125" bestFit="1" customWidth="1"/>
    <col min="14083" max="14084" width="10.88671875" customWidth="1"/>
    <col min="14337" max="14337" width="45" bestFit="1" customWidth="1"/>
    <col min="14338" max="14338" width="4.33203125" bestFit="1" customWidth="1"/>
    <col min="14339" max="14340" width="10.88671875" customWidth="1"/>
    <col min="14593" max="14593" width="45" bestFit="1" customWidth="1"/>
    <col min="14594" max="14594" width="4.33203125" bestFit="1" customWidth="1"/>
    <col min="14595" max="14596" width="10.88671875" customWidth="1"/>
    <col min="14849" max="14849" width="45" bestFit="1" customWidth="1"/>
    <col min="14850" max="14850" width="4.33203125" bestFit="1" customWidth="1"/>
    <col min="14851" max="14852" width="10.88671875" customWidth="1"/>
    <col min="15105" max="15105" width="45" bestFit="1" customWidth="1"/>
    <col min="15106" max="15106" width="4.33203125" bestFit="1" customWidth="1"/>
    <col min="15107" max="15108" width="10.88671875" customWidth="1"/>
    <col min="15361" max="15361" width="45" bestFit="1" customWidth="1"/>
    <col min="15362" max="15362" width="4.33203125" bestFit="1" customWidth="1"/>
    <col min="15363" max="15364" width="10.88671875" customWidth="1"/>
    <col min="15617" max="15617" width="45" bestFit="1" customWidth="1"/>
    <col min="15618" max="15618" width="4.33203125" bestFit="1" customWidth="1"/>
    <col min="15619" max="15620" width="10.88671875" customWidth="1"/>
    <col min="15873" max="15873" width="45" bestFit="1" customWidth="1"/>
    <col min="15874" max="15874" width="4.33203125" bestFit="1" customWidth="1"/>
    <col min="15875" max="15876" width="10.88671875" customWidth="1"/>
    <col min="16129" max="16129" width="45" bestFit="1" customWidth="1"/>
    <col min="16130" max="16130" width="4.33203125" bestFit="1" customWidth="1"/>
    <col min="16131" max="16132" width="10.88671875" customWidth="1"/>
    <col min="16135" max="16384" width="8.21875" style="33"/>
  </cols>
  <sheetData>
    <row r="1" spans="1:4" s="33" customFormat="1" ht="17.100000000000001" customHeight="1" x14ac:dyDescent="0.15">
      <c r="A1" s="31" t="s">
        <v>21</v>
      </c>
      <c r="B1" s="32" t="s">
        <v>22</v>
      </c>
      <c r="C1" s="31" t="s">
        <v>23</v>
      </c>
      <c r="D1" s="31" t="s">
        <v>24</v>
      </c>
    </row>
    <row r="2" spans="1:4" s="33" customFormat="1" ht="17.100000000000001" customHeight="1" x14ac:dyDescent="0.15">
      <c r="A2" s="34" t="s">
        <v>25</v>
      </c>
      <c r="B2" s="35">
        <v>1</v>
      </c>
      <c r="C2" s="36">
        <v>1</v>
      </c>
      <c r="D2" s="36">
        <v>201</v>
      </c>
    </row>
    <row r="3" spans="1:4" s="33" customFormat="1" ht="17.100000000000001" customHeight="1" x14ac:dyDescent="0.15">
      <c r="A3" s="34" t="s">
        <v>26</v>
      </c>
      <c r="B3" s="35">
        <v>2</v>
      </c>
      <c r="C3" s="36">
        <v>2</v>
      </c>
      <c r="D3" s="36">
        <v>202</v>
      </c>
    </row>
    <row r="4" spans="1:4" s="33" customFormat="1" ht="17.100000000000001" customHeight="1" x14ac:dyDescent="0.15">
      <c r="A4" s="34" t="s">
        <v>27</v>
      </c>
      <c r="B4" s="35">
        <v>3</v>
      </c>
      <c r="C4" s="36">
        <v>3</v>
      </c>
      <c r="D4" s="36">
        <v>203</v>
      </c>
    </row>
    <row r="5" spans="1:4" s="33" customFormat="1" ht="17.100000000000001" customHeight="1" x14ac:dyDescent="0.15">
      <c r="A5" s="34" t="s">
        <v>28</v>
      </c>
      <c r="B5" s="35">
        <v>4</v>
      </c>
      <c r="C5" s="36">
        <v>4</v>
      </c>
      <c r="D5" s="36">
        <v>204</v>
      </c>
    </row>
    <row r="6" spans="1:4" s="33" customFormat="1" ht="17.100000000000001" customHeight="1" x14ac:dyDescent="0.15">
      <c r="A6" s="34" t="s">
        <v>29</v>
      </c>
      <c r="B6" s="35">
        <v>5</v>
      </c>
      <c r="C6" s="36">
        <v>5</v>
      </c>
      <c r="D6" s="36">
        <v>205</v>
      </c>
    </row>
    <row r="7" spans="1:4" s="33" customFormat="1" ht="17.100000000000001" customHeight="1" x14ac:dyDescent="0.15">
      <c r="A7" s="34" t="s">
        <v>30</v>
      </c>
      <c r="B7" s="35">
        <v>6</v>
      </c>
      <c r="C7" s="36">
        <v>6</v>
      </c>
      <c r="D7" s="36">
        <v>206</v>
      </c>
    </row>
    <row r="8" spans="1:4" s="33" customFormat="1" ht="17.100000000000001" customHeight="1" x14ac:dyDescent="0.15">
      <c r="A8" s="34" t="s">
        <v>31</v>
      </c>
      <c r="B8" s="35">
        <v>7</v>
      </c>
      <c r="C8" s="36">
        <v>7</v>
      </c>
      <c r="D8" s="36">
        <v>207</v>
      </c>
    </row>
    <row r="9" spans="1:4" s="33" customFormat="1" ht="17.100000000000001" customHeight="1" x14ac:dyDescent="0.15">
      <c r="A9" s="34" t="s">
        <v>32</v>
      </c>
      <c r="B9" s="35">
        <v>8</v>
      </c>
      <c r="C9" s="36">
        <v>8</v>
      </c>
      <c r="D9" s="36">
        <v>208</v>
      </c>
    </row>
    <row r="10" spans="1:4" s="33" customFormat="1" ht="17.100000000000001" customHeight="1" x14ac:dyDescent="0.15">
      <c r="A10" s="34" t="s">
        <v>33</v>
      </c>
      <c r="B10" s="35">
        <v>9</v>
      </c>
      <c r="C10" s="36">
        <v>9</v>
      </c>
      <c r="D10" s="36">
        <v>209</v>
      </c>
    </row>
    <row r="11" spans="1:4" s="33" customFormat="1" ht="17.100000000000001" customHeight="1" x14ac:dyDescent="0.15">
      <c r="A11" s="34" t="s">
        <v>34</v>
      </c>
      <c r="B11" s="35">
        <v>10</v>
      </c>
      <c r="C11" s="36">
        <v>10</v>
      </c>
      <c r="D11" s="36">
        <v>210</v>
      </c>
    </row>
    <row r="12" spans="1:4" s="33" customFormat="1" ht="17.100000000000001" customHeight="1" x14ac:dyDescent="0.15">
      <c r="A12" s="34" t="s">
        <v>35</v>
      </c>
      <c r="B12" s="35">
        <v>11</v>
      </c>
      <c r="C12" s="36">
        <v>11</v>
      </c>
      <c r="D12" s="36">
        <v>211</v>
      </c>
    </row>
    <row r="13" spans="1:4" s="33" customFormat="1" ht="17.100000000000001" customHeight="1" x14ac:dyDescent="0.15">
      <c r="A13" s="34" t="s">
        <v>36</v>
      </c>
      <c r="B13" s="35">
        <v>12</v>
      </c>
      <c r="C13" s="36">
        <v>12</v>
      </c>
      <c r="D13" s="36">
        <v>212</v>
      </c>
    </row>
    <row r="14" spans="1:4" s="33" customFormat="1" ht="17.100000000000001" customHeight="1" x14ac:dyDescent="0.15">
      <c r="A14" s="34" t="s">
        <v>37</v>
      </c>
      <c r="B14" s="35">
        <v>13</v>
      </c>
      <c r="C14" s="36">
        <v>13</v>
      </c>
      <c r="D14" s="36">
        <v>213</v>
      </c>
    </row>
    <row r="15" spans="1:4" s="33" customFormat="1" ht="17.100000000000001" customHeight="1" x14ac:dyDescent="0.15">
      <c r="A15" s="34" t="s">
        <v>38</v>
      </c>
      <c r="B15" s="35">
        <v>14</v>
      </c>
      <c r="C15" s="36">
        <v>14</v>
      </c>
      <c r="D15" s="36">
        <v>214</v>
      </c>
    </row>
    <row r="16" spans="1:4" s="33" customFormat="1" ht="17.100000000000001" customHeight="1" x14ac:dyDescent="0.15">
      <c r="A16" s="34" t="s">
        <v>39</v>
      </c>
      <c r="B16" s="35">
        <v>15</v>
      </c>
      <c r="C16" s="36">
        <v>15</v>
      </c>
      <c r="D16" s="36">
        <v>215</v>
      </c>
    </row>
    <row r="17" spans="1:6" s="33" customFormat="1" ht="17.100000000000001" customHeight="1" x14ac:dyDescent="0.15">
      <c r="A17" s="34" t="s">
        <v>40</v>
      </c>
      <c r="B17" s="35">
        <v>16</v>
      </c>
      <c r="C17" s="36">
        <v>16</v>
      </c>
      <c r="D17" s="36">
        <v>216</v>
      </c>
    </row>
    <row r="18" spans="1:6" s="33" customFormat="1" ht="17.100000000000001" customHeight="1" x14ac:dyDescent="0.15">
      <c r="A18" s="34" t="s">
        <v>41</v>
      </c>
      <c r="B18" s="35">
        <v>17</v>
      </c>
      <c r="C18" s="36">
        <v>17</v>
      </c>
      <c r="D18" s="36">
        <v>217</v>
      </c>
    </row>
    <row r="19" spans="1:6" s="33" customFormat="1" ht="17.100000000000001" customHeight="1" x14ac:dyDescent="0.15">
      <c r="A19" s="34" t="s">
        <v>42</v>
      </c>
      <c r="B19" s="35">
        <v>18</v>
      </c>
      <c r="C19" s="36">
        <v>18</v>
      </c>
      <c r="D19" s="36">
        <v>218</v>
      </c>
    </row>
    <row r="20" spans="1:6" s="33" customFormat="1" ht="17.100000000000001" customHeight="1" x14ac:dyDescent="0.15">
      <c r="A20" s="34" t="s">
        <v>43</v>
      </c>
      <c r="B20" s="35">
        <v>19</v>
      </c>
      <c r="C20" s="36">
        <v>19</v>
      </c>
      <c r="D20" s="36">
        <v>219</v>
      </c>
    </row>
    <row r="21" spans="1:6" s="33" customFormat="1" ht="17.100000000000001" customHeight="1" x14ac:dyDescent="0.15">
      <c r="A21" s="34" t="s">
        <v>44</v>
      </c>
      <c r="B21" s="35">
        <v>20</v>
      </c>
      <c r="C21" s="36">
        <v>20</v>
      </c>
      <c r="D21" s="36">
        <v>220</v>
      </c>
    </row>
    <row r="22" spans="1:6" s="37" customFormat="1" ht="17.100000000000001" customHeight="1" x14ac:dyDescent="0.25">
      <c r="A22" s="34" t="s">
        <v>45</v>
      </c>
      <c r="B22" s="35">
        <v>21</v>
      </c>
      <c r="C22" s="36">
        <v>21</v>
      </c>
      <c r="D22" s="36">
        <v>221</v>
      </c>
      <c r="E22" s="37" t="s">
        <v>46</v>
      </c>
      <c r="F22" s="37" t="s">
        <v>46</v>
      </c>
    </row>
    <row r="23" spans="1:6" s="37" customFormat="1" ht="17.100000000000001" customHeight="1" x14ac:dyDescent="0.25">
      <c r="A23" s="34" t="s">
        <v>47</v>
      </c>
      <c r="B23" s="35">
        <v>22</v>
      </c>
      <c r="C23" s="36">
        <v>22</v>
      </c>
      <c r="D23" s="36">
        <v>222</v>
      </c>
      <c r="E23" s="37" t="s">
        <v>46</v>
      </c>
      <c r="F23" s="37" t="s">
        <v>46</v>
      </c>
    </row>
    <row r="24" spans="1:6" s="37" customFormat="1" ht="17.100000000000001" customHeight="1" x14ac:dyDescent="0.25">
      <c r="A24" s="34" t="s">
        <v>48</v>
      </c>
      <c r="B24" s="35">
        <v>23</v>
      </c>
      <c r="C24" s="36">
        <v>23</v>
      </c>
      <c r="D24" s="36">
        <v>223</v>
      </c>
      <c r="E24" s="37" t="s">
        <v>46</v>
      </c>
      <c r="F24" s="37" t="s">
        <v>46</v>
      </c>
    </row>
    <row r="25" spans="1:6" s="33" customFormat="1" ht="17.100000000000001" customHeight="1" x14ac:dyDescent="0.15">
      <c r="A25" s="34" t="s">
        <v>49</v>
      </c>
      <c r="B25" s="35">
        <v>24</v>
      </c>
      <c r="C25" s="36">
        <v>24</v>
      </c>
      <c r="D25" s="36">
        <v>224</v>
      </c>
    </row>
    <row r="26" spans="1:6" s="33" customFormat="1" ht="17.100000000000001" customHeight="1" x14ac:dyDescent="0.15">
      <c r="A26" s="38"/>
      <c r="B26" s="35">
        <v>25</v>
      </c>
      <c r="C26" s="36">
        <v>25</v>
      </c>
      <c r="D26" s="36">
        <v>225</v>
      </c>
    </row>
    <row r="27" spans="1:6" s="33" customFormat="1" ht="17.100000000000001" customHeight="1" x14ac:dyDescent="0.15">
      <c r="A27" s="34" t="s">
        <v>50</v>
      </c>
      <c r="B27" s="35">
        <v>26</v>
      </c>
      <c r="C27" s="36">
        <v>26</v>
      </c>
      <c r="D27" s="36">
        <v>226</v>
      </c>
    </row>
    <row r="28" spans="1:6" s="33" customFormat="1" ht="17.100000000000001" customHeight="1" x14ac:dyDescent="0.15">
      <c r="A28" s="34" t="s">
        <v>51</v>
      </c>
      <c r="B28" s="35">
        <v>27</v>
      </c>
      <c r="C28" s="36">
        <v>27</v>
      </c>
      <c r="D28" s="36">
        <v>227</v>
      </c>
    </row>
    <row r="29" spans="1:6" s="33" customFormat="1" ht="17.100000000000001" customHeight="1" x14ac:dyDescent="0.15">
      <c r="A29" s="34" t="s">
        <v>52</v>
      </c>
      <c r="B29" s="35">
        <v>28</v>
      </c>
      <c r="C29" s="36">
        <v>28</v>
      </c>
      <c r="D29" s="36">
        <v>228</v>
      </c>
      <c r="E29" s="39"/>
    </row>
    <row r="30" spans="1:6" s="33" customFormat="1" ht="17.100000000000001" customHeight="1" x14ac:dyDescent="0.15">
      <c r="A30" s="34" t="s">
        <v>53</v>
      </c>
      <c r="B30" s="35">
        <v>29</v>
      </c>
      <c r="C30" s="36">
        <v>29</v>
      </c>
      <c r="D30" s="36">
        <v>229</v>
      </c>
    </row>
    <row r="31" spans="1:6" s="33" customFormat="1" ht="17.100000000000001" customHeight="1" x14ac:dyDescent="0.15">
      <c r="A31" s="34" t="s">
        <v>54</v>
      </c>
      <c r="B31" s="35">
        <v>30</v>
      </c>
      <c r="C31" s="36">
        <v>30</v>
      </c>
      <c r="D31" s="36">
        <v>230</v>
      </c>
    </row>
    <row r="32" spans="1:6" s="33" customFormat="1" ht="17.100000000000001" customHeight="1" x14ac:dyDescent="0.15">
      <c r="A32" s="34" t="s">
        <v>55</v>
      </c>
      <c r="B32" s="35">
        <v>31</v>
      </c>
      <c r="C32" s="36">
        <v>31</v>
      </c>
      <c r="D32" s="36">
        <v>231</v>
      </c>
    </row>
    <row r="33" spans="1:4" s="33" customFormat="1" ht="17.100000000000001" customHeight="1" x14ac:dyDescent="0.15">
      <c r="A33" s="34" t="s">
        <v>56</v>
      </c>
      <c r="B33" s="35">
        <v>32</v>
      </c>
      <c r="C33" s="36">
        <v>32</v>
      </c>
      <c r="D33" s="36">
        <v>232</v>
      </c>
    </row>
    <row r="34" spans="1:4" s="33" customFormat="1" ht="17.100000000000001" customHeight="1" x14ac:dyDescent="0.15">
      <c r="A34" s="34" t="s">
        <v>57</v>
      </c>
      <c r="B34" s="35">
        <v>33</v>
      </c>
      <c r="C34" s="36">
        <v>33</v>
      </c>
      <c r="D34" s="36">
        <v>233</v>
      </c>
    </row>
    <row r="35" spans="1:4" s="33" customFormat="1" ht="17.100000000000001" customHeight="1" x14ac:dyDescent="0.15">
      <c r="A35" s="34" t="s">
        <v>58</v>
      </c>
      <c r="B35" s="35">
        <v>34</v>
      </c>
      <c r="C35" s="36">
        <v>34</v>
      </c>
      <c r="D35" s="36">
        <v>234</v>
      </c>
    </row>
    <row r="36" spans="1:4" s="33" customFormat="1" ht="17.100000000000001" customHeight="1" x14ac:dyDescent="0.15">
      <c r="A36" s="34" t="s">
        <v>59</v>
      </c>
      <c r="B36" s="35">
        <v>35</v>
      </c>
      <c r="C36" s="36">
        <v>35</v>
      </c>
      <c r="D36" s="36">
        <v>235</v>
      </c>
    </row>
    <row r="37" spans="1:4" s="33" customFormat="1" ht="17.100000000000001" customHeight="1" x14ac:dyDescent="0.15">
      <c r="A37" s="34" t="s">
        <v>60</v>
      </c>
      <c r="B37" s="35">
        <v>36</v>
      </c>
      <c r="C37" s="36">
        <v>36</v>
      </c>
      <c r="D37" s="36">
        <v>236</v>
      </c>
    </row>
    <row r="38" spans="1:4" s="33" customFormat="1" ht="17.100000000000001" customHeight="1" x14ac:dyDescent="0.15">
      <c r="A38" s="34" t="s">
        <v>61</v>
      </c>
      <c r="B38" s="35">
        <v>37</v>
      </c>
      <c r="C38" s="36">
        <v>37</v>
      </c>
      <c r="D38" s="36">
        <v>237</v>
      </c>
    </row>
    <row r="39" spans="1:4" s="33" customFormat="1" ht="17.100000000000001" customHeight="1" x14ac:dyDescent="0.15">
      <c r="A39" s="34" t="s">
        <v>62</v>
      </c>
      <c r="B39" s="35">
        <v>38</v>
      </c>
      <c r="C39" s="36">
        <v>38</v>
      </c>
      <c r="D39" s="36">
        <v>238</v>
      </c>
    </row>
    <row r="40" spans="1:4" s="33" customFormat="1" ht="17.100000000000001" customHeight="1" x14ac:dyDescent="0.15">
      <c r="A40" s="34" t="s">
        <v>63</v>
      </c>
      <c r="B40" s="35">
        <v>39</v>
      </c>
      <c r="C40" s="36">
        <v>39</v>
      </c>
      <c r="D40" s="36">
        <v>239</v>
      </c>
    </row>
    <row r="41" spans="1:4" s="33" customFormat="1" ht="17.100000000000001" customHeight="1" x14ac:dyDescent="0.15">
      <c r="A41" s="34" t="s">
        <v>64</v>
      </c>
      <c r="B41" s="35">
        <v>40</v>
      </c>
      <c r="C41" s="36">
        <v>40</v>
      </c>
      <c r="D41" s="36">
        <v>240</v>
      </c>
    </row>
    <row r="42" spans="1:4" s="33" customFormat="1" ht="17.100000000000001" customHeight="1" x14ac:dyDescent="0.15">
      <c r="A42" s="34" t="s">
        <v>65</v>
      </c>
      <c r="B42" s="35">
        <v>41</v>
      </c>
      <c r="C42" s="36">
        <v>41</v>
      </c>
      <c r="D42" s="36">
        <v>241</v>
      </c>
    </row>
    <row r="43" spans="1:4" s="33" customFormat="1" ht="17.100000000000001" customHeight="1" x14ac:dyDescent="0.15">
      <c r="A43" s="34" t="s">
        <v>66</v>
      </c>
      <c r="B43" s="35">
        <v>42</v>
      </c>
      <c r="C43" s="36">
        <v>42</v>
      </c>
      <c r="D43" s="36">
        <v>242</v>
      </c>
    </row>
    <row r="44" spans="1:4" s="33" customFormat="1" ht="17.100000000000001" customHeight="1" x14ac:dyDescent="0.15">
      <c r="A44" s="34" t="s">
        <v>67</v>
      </c>
      <c r="B44" s="35">
        <v>43</v>
      </c>
      <c r="C44" s="36">
        <v>43</v>
      </c>
      <c r="D44" s="36">
        <v>243</v>
      </c>
    </row>
    <row r="45" spans="1:4" s="33" customFormat="1" ht="17.100000000000001" customHeight="1" x14ac:dyDescent="0.15">
      <c r="A45" s="34" t="s">
        <v>68</v>
      </c>
      <c r="B45" s="35">
        <v>44</v>
      </c>
      <c r="C45" s="36">
        <v>44</v>
      </c>
      <c r="D45" s="36">
        <v>244</v>
      </c>
    </row>
    <row r="46" spans="1:4" s="33" customFormat="1" ht="17.100000000000001" customHeight="1" x14ac:dyDescent="0.15">
      <c r="A46" s="34" t="s">
        <v>69</v>
      </c>
      <c r="B46" s="35">
        <v>45</v>
      </c>
      <c r="C46" s="36">
        <v>45</v>
      </c>
      <c r="D46" s="36">
        <v>245</v>
      </c>
    </row>
    <row r="47" spans="1:4" s="33" customFormat="1" ht="17.100000000000001" customHeight="1" x14ac:dyDescent="0.15">
      <c r="A47" s="34" t="s">
        <v>70</v>
      </c>
      <c r="B47" s="35">
        <v>46</v>
      </c>
      <c r="C47" s="36">
        <v>46</v>
      </c>
      <c r="D47" s="36">
        <v>246</v>
      </c>
    </row>
    <row r="48" spans="1:4" s="33" customFormat="1" ht="17.100000000000001" customHeight="1" x14ac:dyDescent="0.15">
      <c r="A48" s="34" t="s">
        <v>71</v>
      </c>
      <c r="B48" s="35">
        <v>47</v>
      </c>
      <c r="C48" s="36">
        <v>47</v>
      </c>
      <c r="D48" s="36">
        <v>247</v>
      </c>
    </row>
    <row r="49" spans="1:6" s="37" customFormat="1" ht="17.100000000000001" customHeight="1" x14ac:dyDescent="0.25">
      <c r="A49" s="34" t="s">
        <v>72</v>
      </c>
      <c r="B49" s="35">
        <v>48</v>
      </c>
      <c r="C49" s="36">
        <v>48</v>
      </c>
      <c r="D49" s="36">
        <v>248</v>
      </c>
      <c r="E49" s="37" t="s">
        <v>46</v>
      </c>
      <c r="F49" s="37" t="s">
        <v>46</v>
      </c>
    </row>
    <row r="50" spans="1:6" s="37" customFormat="1" ht="17.100000000000001" customHeight="1" x14ac:dyDescent="0.25">
      <c r="A50" s="34" t="s">
        <v>73</v>
      </c>
      <c r="B50" s="35">
        <v>49</v>
      </c>
      <c r="C50" s="36">
        <v>49</v>
      </c>
      <c r="D50" s="36">
        <v>249</v>
      </c>
      <c r="E50" s="37" t="s">
        <v>46</v>
      </c>
      <c r="F50" s="37" t="s">
        <v>46</v>
      </c>
    </row>
    <row r="51" spans="1:6" s="33" customFormat="1" ht="17.100000000000001" customHeight="1" x14ac:dyDescent="0.15">
      <c r="A51" s="40" t="s">
        <v>74</v>
      </c>
      <c r="B51" s="35">
        <v>50</v>
      </c>
      <c r="C51" s="36">
        <v>50</v>
      </c>
      <c r="D51" s="36">
        <v>250</v>
      </c>
    </row>
    <row r="52" spans="1:6" s="33" customFormat="1" ht="17.100000000000001" customHeight="1" x14ac:dyDescent="0.15">
      <c r="A52" s="41" t="s">
        <v>75</v>
      </c>
      <c r="B52" s="35">
        <v>51</v>
      </c>
      <c r="C52" s="36">
        <v>51</v>
      </c>
      <c r="D52" s="36">
        <v>251</v>
      </c>
    </row>
    <row r="53" spans="1:6" s="33" customFormat="1" ht="17.100000000000001" customHeight="1" x14ac:dyDescent="0.15">
      <c r="A53" s="34" t="s">
        <v>76</v>
      </c>
      <c r="B53" s="35">
        <v>52</v>
      </c>
      <c r="C53" s="36">
        <v>52</v>
      </c>
      <c r="D53" s="36">
        <v>252</v>
      </c>
    </row>
    <row r="54" spans="1:6" s="33" customFormat="1" ht="17.100000000000001" customHeight="1" x14ac:dyDescent="0.15">
      <c r="A54" s="34" t="s">
        <v>77</v>
      </c>
      <c r="B54" s="35">
        <v>53</v>
      </c>
      <c r="C54" s="36">
        <v>53</v>
      </c>
      <c r="D54" s="36">
        <v>253</v>
      </c>
    </row>
    <row r="55" spans="1:6" s="33" customFormat="1" ht="17.100000000000001" customHeight="1" x14ac:dyDescent="0.15">
      <c r="A55" s="34" t="s">
        <v>78</v>
      </c>
      <c r="B55" s="35">
        <v>54</v>
      </c>
      <c r="C55" s="36">
        <v>54</v>
      </c>
      <c r="D55" s="36">
        <v>254</v>
      </c>
    </row>
    <row r="56" spans="1:6" s="33" customFormat="1" ht="17.100000000000001" customHeight="1" x14ac:dyDescent="0.15">
      <c r="A56" s="34" t="s">
        <v>79</v>
      </c>
      <c r="B56" s="35">
        <v>55</v>
      </c>
      <c r="C56" s="36">
        <v>55</v>
      </c>
      <c r="D56" s="36">
        <v>255</v>
      </c>
    </row>
    <row r="57" spans="1:6" s="33" customFormat="1" ht="17.100000000000001" customHeight="1" x14ac:dyDescent="0.15">
      <c r="A57" s="34" t="s">
        <v>80</v>
      </c>
      <c r="B57" s="35">
        <v>56</v>
      </c>
      <c r="C57" s="36">
        <v>56</v>
      </c>
      <c r="D57" s="36">
        <v>256</v>
      </c>
    </row>
    <row r="58" spans="1:6" s="33" customFormat="1" ht="17.100000000000001" customHeight="1" x14ac:dyDescent="0.15">
      <c r="A58" s="34" t="s">
        <v>81</v>
      </c>
      <c r="B58" s="35">
        <v>57</v>
      </c>
      <c r="C58" s="36">
        <v>57</v>
      </c>
      <c r="D58" s="36">
        <v>257</v>
      </c>
    </row>
    <row r="59" spans="1:6" s="33" customFormat="1" ht="17.100000000000001" customHeight="1" x14ac:dyDescent="0.15">
      <c r="A59" s="34" t="s">
        <v>82</v>
      </c>
      <c r="B59" s="35">
        <v>58</v>
      </c>
      <c r="C59" s="36">
        <v>58</v>
      </c>
      <c r="D59" s="36">
        <v>258</v>
      </c>
    </row>
    <row r="60" spans="1:6" s="33" customFormat="1" ht="17.100000000000001" customHeight="1" x14ac:dyDescent="0.15">
      <c r="A60" s="34" t="s">
        <v>83</v>
      </c>
      <c r="B60" s="35">
        <v>59</v>
      </c>
      <c r="C60" s="36">
        <v>59</v>
      </c>
      <c r="D60" s="36">
        <v>259</v>
      </c>
    </row>
    <row r="61" spans="1:6" s="33" customFormat="1" ht="17.100000000000001" customHeight="1" x14ac:dyDescent="0.15">
      <c r="A61" s="34" t="s">
        <v>84</v>
      </c>
      <c r="B61" s="35">
        <v>60</v>
      </c>
      <c r="C61" s="36">
        <v>60</v>
      </c>
      <c r="D61" s="36">
        <v>260</v>
      </c>
    </row>
    <row r="62" spans="1:6" s="33" customFormat="1" ht="17.100000000000001" customHeight="1" x14ac:dyDescent="0.15">
      <c r="A62" s="34" t="s">
        <v>85</v>
      </c>
      <c r="B62" s="35">
        <v>61</v>
      </c>
      <c r="C62" s="36">
        <v>61</v>
      </c>
      <c r="D62" s="36">
        <v>261</v>
      </c>
    </row>
    <row r="63" spans="1:6" s="33" customFormat="1" ht="17.100000000000001" customHeight="1" x14ac:dyDescent="0.15">
      <c r="A63" s="34" t="s">
        <v>86</v>
      </c>
      <c r="B63" s="35">
        <v>62</v>
      </c>
      <c r="C63" s="36">
        <v>62</v>
      </c>
      <c r="D63" s="36">
        <v>262</v>
      </c>
    </row>
    <row r="64" spans="1:6" s="33" customFormat="1" ht="17.100000000000001" customHeight="1" x14ac:dyDescent="0.15">
      <c r="A64" s="34" t="s">
        <v>87</v>
      </c>
      <c r="B64" s="35">
        <v>63</v>
      </c>
      <c r="C64" s="36">
        <v>63</v>
      </c>
      <c r="D64" s="36">
        <v>263</v>
      </c>
    </row>
    <row r="65" spans="1:6" s="33" customFormat="1" ht="17.100000000000001" customHeight="1" x14ac:dyDescent="0.15">
      <c r="A65" s="34" t="s">
        <v>88</v>
      </c>
      <c r="B65" s="35">
        <v>64</v>
      </c>
      <c r="C65" s="36">
        <v>64</v>
      </c>
      <c r="D65" s="36">
        <v>264</v>
      </c>
    </row>
    <row r="66" spans="1:6" s="33" customFormat="1" ht="17.100000000000001" customHeight="1" x14ac:dyDescent="0.15">
      <c r="A66" s="34" t="s">
        <v>89</v>
      </c>
      <c r="B66" s="35">
        <v>65</v>
      </c>
      <c r="C66" s="36">
        <v>65</v>
      </c>
      <c r="D66" s="36">
        <v>265</v>
      </c>
    </row>
    <row r="67" spans="1:6" s="33" customFormat="1" ht="17.100000000000001" customHeight="1" x14ac:dyDescent="0.15">
      <c r="A67" s="34" t="s">
        <v>90</v>
      </c>
      <c r="B67" s="35">
        <v>66</v>
      </c>
      <c r="C67" s="36">
        <v>66</v>
      </c>
      <c r="D67" s="36">
        <v>266</v>
      </c>
    </row>
    <row r="68" spans="1:6" s="33" customFormat="1" ht="17.100000000000001" customHeight="1" x14ac:dyDescent="0.15">
      <c r="A68" s="34" t="s">
        <v>91</v>
      </c>
      <c r="B68" s="35">
        <v>67</v>
      </c>
      <c r="C68" s="36">
        <v>67</v>
      </c>
      <c r="D68" s="36">
        <v>267</v>
      </c>
    </row>
    <row r="69" spans="1:6" s="33" customFormat="1" ht="17.100000000000001" customHeight="1" x14ac:dyDescent="0.15">
      <c r="A69" s="34" t="s">
        <v>92</v>
      </c>
      <c r="B69" s="35">
        <v>68</v>
      </c>
      <c r="C69" s="36">
        <v>68</v>
      </c>
      <c r="D69" s="36">
        <v>268</v>
      </c>
    </row>
    <row r="70" spans="1:6" s="33" customFormat="1" ht="17.100000000000001" customHeight="1" x14ac:dyDescent="0.15">
      <c r="A70" s="34" t="s">
        <v>93</v>
      </c>
      <c r="B70" s="35">
        <v>69</v>
      </c>
      <c r="C70" s="36">
        <v>69</v>
      </c>
      <c r="D70" s="36">
        <v>269</v>
      </c>
    </row>
    <row r="71" spans="1:6" s="33" customFormat="1" ht="17.100000000000001" customHeight="1" x14ac:dyDescent="0.15">
      <c r="A71" s="34" t="s">
        <v>94</v>
      </c>
      <c r="B71" s="35">
        <v>70</v>
      </c>
      <c r="C71" s="36">
        <v>70</v>
      </c>
      <c r="D71" s="36">
        <v>270</v>
      </c>
    </row>
    <row r="72" spans="1:6" s="33" customFormat="1" ht="17.100000000000001" customHeight="1" x14ac:dyDescent="0.15">
      <c r="A72" s="34" t="s">
        <v>95</v>
      </c>
      <c r="B72" s="35">
        <v>71</v>
      </c>
      <c r="C72" s="36">
        <v>71</v>
      </c>
      <c r="D72" s="36">
        <v>271</v>
      </c>
    </row>
    <row r="73" spans="1:6" s="33" customFormat="1" ht="17.100000000000001" customHeight="1" x14ac:dyDescent="0.15">
      <c r="A73" s="34" t="s">
        <v>96</v>
      </c>
      <c r="B73" s="35">
        <v>72</v>
      </c>
      <c r="C73" s="36">
        <v>72</v>
      </c>
      <c r="D73" s="36">
        <v>272</v>
      </c>
    </row>
    <row r="74" spans="1:6" s="33" customFormat="1" ht="17.100000000000001" customHeight="1" x14ac:dyDescent="0.15">
      <c r="A74" s="34" t="s">
        <v>97</v>
      </c>
      <c r="B74" s="35">
        <v>73</v>
      </c>
      <c r="C74" s="36">
        <v>73</v>
      </c>
      <c r="D74" s="36">
        <v>273</v>
      </c>
    </row>
    <row r="75" spans="1:6" s="33" customFormat="1" ht="17.100000000000001" customHeight="1" x14ac:dyDescent="0.15">
      <c r="A75" s="34" t="s">
        <v>98</v>
      </c>
      <c r="B75" s="35">
        <v>74</v>
      </c>
      <c r="C75" s="36">
        <v>74</v>
      </c>
      <c r="D75" s="36">
        <v>274</v>
      </c>
    </row>
    <row r="76" spans="1:6" s="33" customFormat="1" ht="17.100000000000001" customHeight="1" x14ac:dyDescent="0.15">
      <c r="A76" s="34" t="s">
        <v>99</v>
      </c>
      <c r="B76" s="35">
        <v>75</v>
      </c>
      <c r="C76" s="36">
        <v>75</v>
      </c>
      <c r="D76" s="36">
        <v>275</v>
      </c>
    </row>
    <row r="77" spans="1:6" s="33" customFormat="1" ht="17.100000000000001" customHeight="1" x14ac:dyDescent="0.15">
      <c r="A77" s="34" t="s">
        <v>100</v>
      </c>
      <c r="B77" s="35">
        <v>76</v>
      </c>
      <c r="C77" s="36">
        <v>76</v>
      </c>
      <c r="D77" s="36">
        <v>276</v>
      </c>
    </row>
    <row r="78" spans="1:6" s="33" customFormat="1" ht="17.100000000000001" customHeight="1" x14ac:dyDescent="0.15">
      <c r="A78" s="34" t="s">
        <v>101</v>
      </c>
      <c r="B78" s="35">
        <v>77</v>
      </c>
      <c r="C78" s="36">
        <v>77</v>
      </c>
      <c r="D78" s="36">
        <v>277</v>
      </c>
    </row>
    <row r="79" spans="1:6" s="33" customFormat="1" ht="17.100000000000001" customHeight="1" x14ac:dyDescent="0.15">
      <c r="A79" s="34" t="s">
        <v>102</v>
      </c>
      <c r="B79" s="35">
        <v>78</v>
      </c>
      <c r="C79" s="36">
        <v>78</v>
      </c>
      <c r="D79" s="36">
        <v>278</v>
      </c>
    </row>
    <row r="80" spans="1:6" s="37" customFormat="1" ht="17.100000000000001" customHeight="1" x14ac:dyDescent="0.25">
      <c r="A80" s="34" t="s">
        <v>103</v>
      </c>
      <c r="B80" s="35">
        <v>79</v>
      </c>
      <c r="C80" s="36">
        <v>79</v>
      </c>
      <c r="D80" s="36">
        <v>279</v>
      </c>
      <c r="E80" s="37" t="s">
        <v>46</v>
      </c>
      <c r="F80" s="37" t="s">
        <v>46</v>
      </c>
    </row>
    <row r="81" spans="1:4" s="33" customFormat="1" ht="17.100000000000001" customHeight="1" x14ac:dyDescent="0.15">
      <c r="A81" s="34" t="s">
        <v>104</v>
      </c>
      <c r="B81" s="35">
        <v>80</v>
      </c>
      <c r="C81" s="36">
        <v>80</v>
      </c>
      <c r="D81" s="36">
        <v>280</v>
      </c>
    </row>
    <row r="82" spans="1:4" s="33" customFormat="1" ht="17.100000000000001" customHeight="1" x14ac:dyDescent="0.15">
      <c r="A82" s="42" t="s">
        <v>105</v>
      </c>
      <c r="B82" s="35">
        <v>81</v>
      </c>
      <c r="C82" s="36">
        <v>81</v>
      </c>
      <c r="D82" s="36">
        <v>281</v>
      </c>
    </row>
    <row r="83" spans="1:4" s="33" customFormat="1" ht="17.100000000000001" customHeight="1" x14ac:dyDescent="0.15">
      <c r="A83" s="38"/>
      <c r="B83" s="35">
        <v>82</v>
      </c>
      <c r="C83" s="36">
        <v>82</v>
      </c>
      <c r="D83" s="36">
        <v>282</v>
      </c>
    </row>
    <row r="84" spans="1:4" s="33" customFormat="1" ht="17.100000000000001" customHeight="1" x14ac:dyDescent="0.15">
      <c r="A84" s="34" t="s">
        <v>106</v>
      </c>
      <c r="B84" s="35">
        <v>83</v>
      </c>
      <c r="C84" s="36">
        <v>83</v>
      </c>
      <c r="D84" s="36">
        <v>283</v>
      </c>
    </row>
    <row r="85" spans="1:4" s="33" customFormat="1" ht="17.100000000000001" customHeight="1" x14ac:dyDescent="0.15">
      <c r="A85" s="34" t="s">
        <v>107</v>
      </c>
      <c r="B85" s="35">
        <v>84</v>
      </c>
      <c r="C85" s="36">
        <v>84</v>
      </c>
      <c r="D85" s="36">
        <v>284</v>
      </c>
    </row>
    <row r="86" spans="1:4" s="33" customFormat="1" ht="17.100000000000001" customHeight="1" x14ac:dyDescent="0.15">
      <c r="A86" s="34" t="s">
        <v>108</v>
      </c>
      <c r="B86" s="35">
        <v>85</v>
      </c>
      <c r="C86" s="36">
        <v>85</v>
      </c>
      <c r="D86" s="36">
        <v>285</v>
      </c>
    </row>
    <row r="87" spans="1:4" s="33" customFormat="1" ht="17.100000000000001" customHeight="1" x14ac:dyDescent="0.15">
      <c r="A87" s="34" t="s">
        <v>109</v>
      </c>
      <c r="B87" s="35">
        <v>86</v>
      </c>
      <c r="C87" s="36">
        <v>86</v>
      </c>
      <c r="D87" s="36">
        <v>286</v>
      </c>
    </row>
    <row r="88" spans="1:4" s="33" customFormat="1" ht="17.100000000000001" customHeight="1" x14ac:dyDescent="0.15">
      <c r="A88" s="34" t="s">
        <v>110</v>
      </c>
      <c r="B88" s="35">
        <v>87</v>
      </c>
      <c r="C88" s="36">
        <v>87</v>
      </c>
      <c r="D88" s="36">
        <v>287</v>
      </c>
    </row>
    <row r="89" spans="1:4" s="33" customFormat="1" ht="17.100000000000001" customHeight="1" x14ac:dyDescent="0.15">
      <c r="A89" s="34" t="s">
        <v>111</v>
      </c>
      <c r="B89" s="35">
        <v>88</v>
      </c>
      <c r="C89" s="36">
        <v>88</v>
      </c>
      <c r="D89" s="36">
        <v>288</v>
      </c>
    </row>
    <row r="90" spans="1:4" s="33" customFormat="1" ht="17.100000000000001" customHeight="1" x14ac:dyDescent="0.15">
      <c r="A90" s="34" t="s">
        <v>112</v>
      </c>
      <c r="B90" s="35">
        <v>89</v>
      </c>
      <c r="C90" s="36">
        <v>89</v>
      </c>
      <c r="D90" s="36">
        <v>289</v>
      </c>
    </row>
    <row r="91" spans="1:4" s="33" customFormat="1" ht="17.100000000000001" customHeight="1" x14ac:dyDescent="0.15">
      <c r="A91" s="34" t="s">
        <v>113</v>
      </c>
      <c r="B91" s="35">
        <v>90</v>
      </c>
      <c r="C91" s="36">
        <v>90</v>
      </c>
      <c r="D91" s="36">
        <v>290</v>
      </c>
    </row>
    <row r="92" spans="1:4" s="33" customFormat="1" ht="17.100000000000001" customHeight="1" x14ac:dyDescent="0.15">
      <c r="A92" s="34" t="s">
        <v>114</v>
      </c>
      <c r="B92" s="35">
        <v>91</v>
      </c>
      <c r="C92" s="36">
        <v>91</v>
      </c>
      <c r="D92" s="36">
        <v>291</v>
      </c>
    </row>
    <row r="93" spans="1:4" s="33" customFormat="1" ht="17.100000000000001" customHeight="1" x14ac:dyDescent="0.15">
      <c r="A93" s="34" t="s">
        <v>115</v>
      </c>
      <c r="B93" s="35">
        <v>92</v>
      </c>
      <c r="C93" s="36">
        <v>92</v>
      </c>
      <c r="D93" s="36">
        <v>292</v>
      </c>
    </row>
    <row r="94" spans="1:4" s="33" customFormat="1" ht="17.100000000000001" customHeight="1" x14ac:dyDescent="0.15">
      <c r="A94" s="34" t="s">
        <v>116</v>
      </c>
      <c r="B94" s="35">
        <v>93</v>
      </c>
      <c r="C94" s="36">
        <v>93</v>
      </c>
      <c r="D94" s="36">
        <v>293</v>
      </c>
    </row>
    <row r="95" spans="1:4" s="33" customFormat="1" ht="17.100000000000001" customHeight="1" x14ac:dyDescent="0.15">
      <c r="A95" s="38"/>
      <c r="B95" s="35">
        <v>94</v>
      </c>
      <c r="C95" s="36">
        <v>94</v>
      </c>
      <c r="D95" s="36">
        <v>294</v>
      </c>
    </row>
    <row r="96" spans="1:4" s="33" customFormat="1" ht="17.100000000000001" customHeight="1" x14ac:dyDescent="0.15">
      <c r="A96" s="43" t="s">
        <v>117</v>
      </c>
      <c r="B96" s="35">
        <v>95</v>
      </c>
      <c r="C96" s="36">
        <v>95</v>
      </c>
      <c r="D96" s="36">
        <v>295</v>
      </c>
    </row>
    <row r="97" spans="1:4" s="33" customFormat="1" ht="17.100000000000001" customHeight="1" x14ac:dyDescent="0.15">
      <c r="A97" s="34" t="s">
        <v>118</v>
      </c>
      <c r="B97" s="35">
        <v>96</v>
      </c>
      <c r="C97" s="36">
        <v>96</v>
      </c>
      <c r="D97" s="36">
        <v>296</v>
      </c>
    </row>
    <row r="98" spans="1:4" s="33" customFormat="1" ht="17.100000000000001" customHeight="1" x14ac:dyDescent="0.15">
      <c r="A98" s="34" t="s">
        <v>119</v>
      </c>
      <c r="B98" s="35">
        <v>97</v>
      </c>
      <c r="C98" s="36">
        <v>97</v>
      </c>
      <c r="D98" s="36">
        <v>297</v>
      </c>
    </row>
    <row r="99" spans="1:4" s="33" customFormat="1" ht="17.100000000000001" customHeight="1" x14ac:dyDescent="0.15">
      <c r="A99" s="34" t="s">
        <v>120</v>
      </c>
      <c r="B99" s="35">
        <v>98</v>
      </c>
      <c r="C99" s="36">
        <v>98</v>
      </c>
      <c r="D99" s="36">
        <v>298</v>
      </c>
    </row>
    <row r="100" spans="1:4" s="33" customFormat="1" ht="17.100000000000001" customHeight="1" x14ac:dyDescent="0.15">
      <c r="A100" s="34" t="s">
        <v>121</v>
      </c>
      <c r="B100" s="35">
        <v>99</v>
      </c>
      <c r="C100" s="36">
        <v>99</v>
      </c>
      <c r="D100" s="36">
        <v>299</v>
      </c>
    </row>
    <row r="101" spans="1:4" s="33" customFormat="1" ht="17.100000000000001" customHeight="1" x14ac:dyDescent="0.15">
      <c r="A101" s="34" t="s">
        <v>122</v>
      </c>
      <c r="B101" s="35">
        <v>100</v>
      </c>
      <c r="C101" s="36">
        <v>100</v>
      </c>
      <c r="D101" s="36">
        <v>300</v>
      </c>
    </row>
    <row r="102" spans="1:4" s="33" customFormat="1" ht="17.100000000000001" customHeight="1" x14ac:dyDescent="0.15">
      <c r="A102" s="34" t="s">
        <v>123</v>
      </c>
      <c r="B102" s="35">
        <v>101</v>
      </c>
      <c r="C102" s="36">
        <v>101</v>
      </c>
      <c r="D102" s="36">
        <v>301</v>
      </c>
    </row>
    <row r="103" spans="1:4" s="33" customFormat="1" ht="17.100000000000001" customHeight="1" x14ac:dyDescent="0.15">
      <c r="A103" s="34" t="s">
        <v>124</v>
      </c>
      <c r="B103" s="35">
        <v>102</v>
      </c>
      <c r="C103" s="36">
        <v>102</v>
      </c>
      <c r="D103" s="36">
        <v>302</v>
      </c>
    </row>
    <row r="104" spans="1:4" s="33" customFormat="1" ht="17.100000000000001" customHeight="1" x14ac:dyDescent="0.15">
      <c r="A104" s="34" t="s">
        <v>125</v>
      </c>
      <c r="B104" s="35">
        <v>103</v>
      </c>
      <c r="C104" s="36">
        <v>103</v>
      </c>
      <c r="D104" s="36">
        <v>303</v>
      </c>
    </row>
    <row r="105" spans="1:4" s="33" customFormat="1" ht="17.100000000000001" customHeight="1" x14ac:dyDescent="0.15">
      <c r="A105" s="34" t="s">
        <v>126</v>
      </c>
      <c r="B105" s="35">
        <v>104</v>
      </c>
      <c r="C105" s="36">
        <v>104</v>
      </c>
      <c r="D105" s="36">
        <v>304</v>
      </c>
    </row>
    <row r="106" spans="1:4" s="33" customFormat="1" ht="17.100000000000001" customHeight="1" x14ac:dyDescent="0.15">
      <c r="A106" s="34" t="s">
        <v>127</v>
      </c>
      <c r="B106" s="35">
        <v>105</v>
      </c>
      <c r="C106" s="36">
        <v>105</v>
      </c>
      <c r="D106" s="36">
        <v>305</v>
      </c>
    </row>
    <row r="107" spans="1:4" s="33" customFormat="1" ht="17.100000000000001" customHeight="1" x14ac:dyDescent="0.15">
      <c r="A107" s="34" t="s">
        <v>128</v>
      </c>
      <c r="B107" s="35">
        <v>106</v>
      </c>
      <c r="C107" s="36">
        <v>106</v>
      </c>
      <c r="D107" s="36">
        <v>306</v>
      </c>
    </row>
    <row r="108" spans="1:4" s="33" customFormat="1" ht="17.100000000000001" customHeight="1" x14ac:dyDescent="0.15">
      <c r="A108" s="34" t="s">
        <v>129</v>
      </c>
      <c r="B108" s="35">
        <v>107</v>
      </c>
      <c r="C108" s="36">
        <v>107</v>
      </c>
      <c r="D108" s="36">
        <v>307</v>
      </c>
    </row>
    <row r="109" spans="1:4" s="33" customFormat="1" ht="17.100000000000001" customHeight="1" x14ac:dyDescent="0.15">
      <c r="A109" s="34" t="s">
        <v>130</v>
      </c>
      <c r="B109" s="35">
        <v>108</v>
      </c>
      <c r="C109" s="36">
        <v>108</v>
      </c>
      <c r="D109" s="36">
        <v>308</v>
      </c>
    </row>
    <row r="110" spans="1:4" s="33" customFormat="1" ht="17.100000000000001" customHeight="1" x14ac:dyDescent="0.15">
      <c r="A110" s="34" t="s">
        <v>131</v>
      </c>
      <c r="B110" s="35">
        <v>109</v>
      </c>
      <c r="C110" s="36">
        <v>109</v>
      </c>
      <c r="D110" s="36">
        <v>309</v>
      </c>
    </row>
    <row r="111" spans="1:4" s="33" customFormat="1" ht="17.100000000000001" customHeight="1" x14ac:dyDescent="0.15">
      <c r="A111" s="34" t="s">
        <v>132</v>
      </c>
      <c r="B111" s="35">
        <v>110</v>
      </c>
      <c r="C111" s="36">
        <v>110</v>
      </c>
      <c r="D111" s="36">
        <v>310</v>
      </c>
    </row>
    <row r="112" spans="1:4" s="33" customFormat="1" ht="17.100000000000001" customHeight="1" x14ac:dyDescent="0.15">
      <c r="A112" s="34" t="s">
        <v>133</v>
      </c>
      <c r="B112" s="35">
        <v>111</v>
      </c>
      <c r="C112" s="36">
        <v>111</v>
      </c>
      <c r="D112" s="36">
        <v>311</v>
      </c>
    </row>
    <row r="113" spans="1:4" s="33" customFormat="1" ht="17.100000000000001" customHeight="1" x14ac:dyDescent="0.15">
      <c r="A113" s="34" t="s">
        <v>134</v>
      </c>
      <c r="B113" s="35">
        <v>112</v>
      </c>
      <c r="C113" s="36">
        <v>112</v>
      </c>
      <c r="D113" s="36">
        <v>312</v>
      </c>
    </row>
    <row r="114" spans="1:4" s="33" customFormat="1" ht="17.100000000000001" customHeight="1" x14ac:dyDescent="0.15">
      <c r="A114" s="34" t="s">
        <v>135</v>
      </c>
      <c r="B114" s="35">
        <v>113</v>
      </c>
      <c r="C114" s="36">
        <v>113</v>
      </c>
      <c r="D114" s="36">
        <v>313</v>
      </c>
    </row>
    <row r="115" spans="1:4" s="33" customFormat="1" ht="17.100000000000001" customHeight="1" x14ac:dyDescent="0.15">
      <c r="A115" s="34" t="s">
        <v>136</v>
      </c>
      <c r="B115" s="35">
        <v>114</v>
      </c>
      <c r="C115" s="36">
        <v>114</v>
      </c>
      <c r="D115" s="36">
        <v>314</v>
      </c>
    </row>
    <row r="116" spans="1:4" s="33" customFormat="1" ht="17.100000000000001" customHeight="1" x14ac:dyDescent="0.15">
      <c r="A116" s="34" t="s">
        <v>137</v>
      </c>
      <c r="B116" s="35">
        <v>115</v>
      </c>
      <c r="C116" s="36">
        <v>115</v>
      </c>
      <c r="D116" s="36">
        <v>315</v>
      </c>
    </row>
    <row r="117" spans="1:4" s="33" customFormat="1" ht="17.100000000000001" customHeight="1" x14ac:dyDescent="0.15">
      <c r="A117" s="34" t="s">
        <v>138</v>
      </c>
      <c r="B117" s="35">
        <v>116</v>
      </c>
      <c r="C117" s="36">
        <v>116</v>
      </c>
      <c r="D117" s="36">
        <v>316</v>
      </c>
    </row>
    <row r="118" spans="1:4" s="33" customFormat="1" ht="17.100000000000001" customHeight="1" x14ac:dyDescent="0.15">
      <c r="A118" s="34" t="s">
        <v>139</v>
      </c>
      <c r="B118" s="35">
        <v>117</v>
      </c>
      <c r="C118" s="36">
        <v>117</v>
      </c>
      <c r="D118" s="36">
        <v>317</v>
      </c>
    </row>
    <row r="119" spans="1:4" s="33" customFormat="1" ht="17.100000000000001" customHeight="1" x14ac:dyDescent="0.15">
      <c r="A119" s="34" t="s">
        <v>140</v>
      </c>
      <c r="B119" s="35">
        <v>118</v>
      </c>
      <c r="C119" s="36">
        <v>118</v>
      </c>
      <c r="D119" s="36">
        <v>318</v>
      </c>
    </row>
    <row r="120" spans="1:4" s="33" customFormat="1" ht="17.100000000000001" customHeight="1" x14ac:dyDescent="0.15">
      <c r="A120" s="34" t="s">
        <v>141</v>
      </c>
      <c r="B120" s="35">
        <v>119</v>
      </c>
      <c r="C120" s="36">
        <v>119</v>
      </c>
      <c r="D120" s="36">
        <v>319</v>
      </c>
    </row>
    <row r="121" spans="1:4" s="33" customFormat="1" ht="17.100000000000001" customHeight="1" x14ac:dyDescent="0.15">
      <c r="A121" s="34" t="s">
        <v>142</v>
      </c>
      <c r="B121" s="35">
        <v>120</v>
      </c>
      <c r="C121" s="36">
        <v>120</v>
      </c>
      <c r="D121" s="36">
        <v>320</v>
      </c>
    </row>
    <row r="122" spans="1:4" s="33" customFormat="1" ht="17.100000000000001" customHeight="1" x14ac:dyDescent="0.15">
      <c r="A122" s="34" t="s">
        <v>143</v>
      </c>
      <c r="B122" s="35">
        <v>121</v>
      </c>
      <c r="C122" s="36">
        <v>121</v>
      </c>
      <c r="D122" s="36">
        <v>321</v>
      </c>
    </row>
    <row r="123" spans="1:4" s="33" customFormat="1" ht="17.100000000000001" customHeight="1" x14ac:dyDescent="0.15">
      <c r="A123" s="34" t="s">
        <v>144</v>
      </c>
      <c r="B123" s="35">
        <v>122</v>
      </c>
      <c r="C123" s="36">
        <v>122</v>
      </c>
      <c r="D123" s="36">
        <v>322</v>
      </c>
    </row>
    <row r="124" spans="1:4" s="33" customFormat="1" ht="17.100000000000001" customHeight="1" x14ac:dyDescent="0.15">
      <c r="A124" s="34" t="s">
        <v>145</v>
      </c>
      <c r="B124" s="35">
        <v>123</v>
      </c>
      <c r="C124" s="36">
        <v>123</v>
      </c>
      <c r="D124" s="36">
        <v>323</v>
      </c>
    </row>
    <row r="125" spans="1:4" s="33" customFormat="1" ht="17.100000000000001" customHeight="1" x14ac:dyDescent="0.15">
      <c r="C125" s="44"/>
      <c r="D125" s="44"/>
    </row>
    <row r="126" spans="1:4" s="33" customFormat="1" ht="17.100000000000001" customHeight="1" x14ac:dyDescent="0.15">
      <c r="C126" s="44"/>
      <c r="D126" s="44"/>
    </row>
    <row r="127" spans="1:4" s="33" customFormat="1" ht="17.100000000000001" customHeight="1" x14ac:dyDescent="0.15">
      <c r="C127" s="44"/>
      <c r="D127" s="44"/>
    </row>
    <row r="128" spans="1:4" s="33" customFormat="1" ht="17.100000000000001" customHeight="1" x14ac:dyDescent="0.15">
      <c r="C128" s="44"/>
      <c r="D128" s="44"/>
    </row>
    <row r="129" spans="3:4" s="33" customFormat="1" ht="17.100000000000001" customHeight="1" x14ac:dyDescent="0.15">
      <c r="C129" s="44"/>
      <c r="D129" s="44"/>
    </row>
    <row r="130" spans="3:4" s="33" customFormat="1" ht="17.100000000000001" customHeight="1" x14ac:dyDescent="0.15">
      <c r="C130" s="44"/>
      <c r="D130" s="44"/>
    </row>
    <row r="131" spans="3:4" s="33" customFormat="1" ht="17.100000000000001" customHeight="1" x14ac:dyDescent="0.15">
      <c r="C131" s="44"/>
      <c r="D131" s="44"/>
    </row>
    <row r="132" spans="3:4" s="33" customFormat="1" ht="17.100000000000001" customHeight="1" x14ac:dyDescent="0.15">
      <c r="C132" s="44"/>
      <c r="D132" s="44"/>
    </row>
    <row r="133" spans="3:4" s="33" customFormat="1" ht="17.100000000000001" customHeight="1" x14ac:dyDescent="0.15">
      <c r="C133" s="44"/>
      <c r="D133" s="44"/>
    </row>
    <row r="134" spans="3:4" s="33" customFormat="1" ht="17.100000000000001" customHeight="1" x14ac:dyDescent="0.15">
      <c r="C134" s="44"/>
      <c r="D134" s="44"/>
    </row>
    <row r="135" spans="3:4" s="33" customFormat="1" ht="17.100000000000001" customHeight="1" x14ac:dyDescent="0.15">
      <c r="C135" s="44"/>
      <c r="D135" s="44"/>
    </row>
    <row r="136" spans="3:4" s="33" customFormat="1" ht="17.100000000000001" customHeight="1" x14ac:dyDescent="0.15">
      <c r="C136" s="44"/>
      <c r="D136" s="44"/>
    </row>
    <row r="137" spans="3:4" s="33" customFormat="1" ht="17.100000000000001" customHeight="1" x14ac:dyDescent="0.15">
      <c r="C137" s="44"/>
      <c r="D137" s="44"/>
    </row>
    <row r="138" spans="3:4" s="33" customFormat="1" ht="17.100000000000001" customHeight="1" x14ac:dyDescent="0.15">
      <c r="C138" s="44"/>
      <c r="D138" s="44"/>
    </row>
    <row r="139" spans="3:4" s="33" customFormat="1" ht="17.100000000000001" customHeight="1" x14ac:dyDescent="0.15">
      <c r="C139" s="44"/>
      <c r="D139" s="44"/>
    </row>
    <row r="140" spans="3:4" s="33" customFormat="1" ht="17.100000000000001" customHeight="1" x14ac:dyDescent="0.15">
      <c r="C140" s="44"/>
      <c r="D140" s="44"/>
    </row>
    <row r="141" spans="3:4" s="33" customFormat="1" ht="17.100000000000001" customHeight="1" x14ac:dyDescent="0.15">
      <c r="C141" s="44"/>
      <c r="D141" s="44"/>
    </row>
    <row r="142" spans="3:4" s="33" customFormat="1" ht="17.100000000000001" customHeight="1" x14ac:dyDescent="0.15">
      <c r="C142" s="44"/>
      <c r="D142" s="44"/>
    </row>
    <row r="143" spans="3:4" s="33" customFormat="1" ht="17.100000000000001" customHeight="1" x14ac:dyDescent="0.15">
      <c r="C143" s="44"/>
      <c r="D143" s="44"/>
    </row>
    <row r="144" spans="3:4" s="33" customFormat="1" ht="17.100000000000001" customHeight="1" x14ac:dyDescent="0.15">
      <c r="C144" s="44"/>
      <c r="D144" s="44"/>
    </row>
    <row r="145" spans="3:4" s="33" customFormat="1" ht="17.100000000000001" customHeight="1" x14ac:dyDescent="0.15">
      <c r="C145" s="44"/>
      <c r="D145" s="44"/>
    </row>
    <row r="146" spans="3:4" s="33" customFormat="1" ht="17.100000000000001" customHeight="1" x14ac:dyDescent="0.15">
      <c r="C146" s="44"/>
      <c r="D146" s="44"/>
    </row>
    <row r="147" spans="3:4" s="33" customFormat="1" ht="17.100000000000001" customHeight="1" x14ac:dyDescent="0.15">
      <c r="C147" s="44"/>
      <c r="D147" s="44"/>
    </row>
    <row r="148" spans="3:4" s="33" customFormat="1" ht="17.100000000000001" customHeight="1" x14ac:dyDescent="0.15">
      <c r="C148" s="44"/>
      <c r="D148" s="44"/>
    </row>
    <row r="149" spans="3:4" s="33" customFormat="1" ht="17.100000000000001" customHeight="1" x14ac:dyDescent="0.15">
      <c r="C149" s="44"/>
      <c r="D149" s="44"/>
    </row>
    <row r="150" spans="3:4" s="33" customFormat="1" ht="17.100000000000001" customHeight="1" x14ac:dyDescent="0.15">
      <c r="C150" s="44"/>
      <c r="D150" s="44"/>
    </row>
    <row r="151" spans="3:4" s="33" customFormat="1" ht="17.100000000000001" customHeight="1" x14ac:dyDescent="0.15">
      <c r="C151" s="44"/>
      <c r="D151" s="44"/>
    </row>
    <row r="152" spans="3:4" s="33" customFormat="1" ht="17.100000000000001" customHeight="1" x14ac:dyDescent="0.15">
      <c r="C152" s="44"/>
      <c r="D152" s="44"/>
    </row>
    <row r="153" spans="3:4" s="33" customFormat="1" ht="17.100000000000001" customHeight="1" x14ac:dyDescent="0.15">
      <c r="C153" s="44"/>
      <c r="D153" s="44"/>
    </row>
    <row r="154" spans="3:4" s="33" customFormat="1" ht="17.100000000000001" customHeight="1" x14ac:dyDescent="0.15">
      <c r="C154" s="44"/>
      <c r="D154" s="44"/>
    </row>
    <row r="155" spans="3:4" s="33" customFormat="1" ht="17.100000000000001" customHeight="1" x14ac:dyDescent="0.15">
      <c r="C155" s="44"/>
      <c r="D155" s="44"/>
    </row>
    <row r="156" spans="3:4" s="33" customFormat="1" ht="17.100000000000001" customHeight="1" x14ac:dyDescent="0.15">
      <c r="C156" s="44"/>
      <c r="D156" s="44"/>
    </row>
    <row r="157" spans="3:4" s="33" customFormat="1" ht="17.100000000000001" customHeight="1" x14ac:dyDescent="0.15">
      <c r="C157" s="44"/>
      <c r="D157" s="44"/>
    </row>
    <row r="158" spans="3:4" s="33" customFormat="1" ht="17.100000000000001" customHeight="1" x14ac:dyDescent="0.15">
      <c r="C158" s="44"/>
      <c r="D158" s="44"/>
    </row>
    <row r="159" spans="3:4" s="33" customFormat="1" ht="17.100000000000001" customHeight="1" x14ac:dyDescent="0.15">
      <c r="C159" s="44"/>
      <c r="D159" s="44"/>
    </row>
    <row r="160" spans="3:4" s="33" customFormat="1" ht="17.100000000000001" customHeight="1" x14ac:dyDescent="0.15">
      <c r="C160" s="44"/>
      <c r="D160" s="44"/>
    </row>
    <row r="161" spans="3:4" s="33" customFormat="1" ht="17.100000000000001" customHeight="1" x14ac:dyDescent="0.15">
      <c r="C161" s="44"/>
      <c r="D161" s="44"/>
    </row>
    <row r="162" spans="3:4" s="33" customFormat="1" ht="17.100000000000001" customHeight="1" x14ac:dyDescent="0.15">
      <c r="C162" s="44"/>
      <c r="D162" s="44"/>
    </row>
    <row r="163" spans="3:4" s="33" customFormat="1" ht="17.100000000000001" customHeight="1" x14ac:dyDescent="0.15">
      <c r="C163" s="44"/>
      <c r="D163" s="44"/>
    </row>
    <row r="164" spans="3:4" s="33" customFormat="1" ht="17.100000000000001" customHeight="1" x14ac:dyDescent="0.15">
      <c r="C164" s="44"/>
      <c r="D164" s="44"/>
    </row>
    <row r="165" spans="3:4" s="33" customFormat="1" ht="17.100000000000001" customHeight="1" x14ac:dyDescent="0.15">
      <c r="C165" s="44"/>
      <c r="D165" s="44"/>
    </row>
    <row r="166" spans="3:4" s="33" customFormat="1" ht="17.100000000000001" customHeight="1" x14ac:dyDescent="0.15">
      <c r="C166" s="44"/>
      <c r="D166" s="44"/>
    </row>
    <row r="167" spans="3:4" s="33" customFormat="1" ht="17.100000000000001" customHeight="1" x14ac:dyDescent="0.15">
      <c r="C167" s="44"/>
      <c r="D167" s="44"/>
    </row>
    <row r="168" spans="3:4" s="33" customFormat="1" ht="17.100000000000001" customHeight="1" x14ac:dyDescent="0.15">
      <c r="C168" s="44"/>
      <c r="D168" s="44"/>
    </row>
    <row r="169" spans="3:4" s="33" customFormat="1" ht="17.100000000000001" customHeight="1" x14ac:dyDescent="0.15">
      <c r="C169" s="44"/>
      <c r="D169" s="44"/>
    </row>
    <row r="170" spans="3:4" s="33" customFormat="1" ht="17.100000000000001" customHeight="1" x14ac:dyDescent="0.15">
      <c r="C170" s="44"/>
      <c r="D170" s="44"/>
    </row>
    <row r="171" spans="3:4" s="33" customFormat="1" ht="17.100000000000001" customHeight="1" x14ac:dyDescent="0.15">
      <c r="C171" s="44"/>
      <c r="D171" s="44"/>
    </row>
    <row r="172" spans="3:4" s="33" customFormat="1" ht="17.100000000000001" customHeight="1" x14ac:dyDescent="0.15">
      <c r="C172" s="44"/>
      <c r="D172" s="44"/>
    </row>
    <row r="173" spans="3:4" s="33" customFormat="1" ht="17.100000000000001" customHeight="1" x14ac:dyDescent="0.15">
      <c r="C173" s="44"/>
      <c r="D173" s="44"/>
    </row>
    <row r="174" spans="3:4" s="33" customFormat="1" ht="17.100000000000001" customHeight="1" x14ac:dyDescent="0.15">
      <c r="C174" s="44"/>
      <c r="D174" s="44"/>
    </row>
    <row r="175" spans="3:4" s="33" customFormat="1" ht="17.100000000000001" customHeight="1" x14ac:dyDescent="0.15">
      <c r="C175" s="44"/>
      <c r="D175" s="44"/>
    </row>
    <row r="176" spans="3:4" s="33" customFormat="1" ht="17.100000000000001" customHeight="1" x14ac:dyDescent="0.15">
      <c r="C176" s="44"/>
      <c r="D176" s="44"/>
    </row>
    <row r="177" spans="3:4" s="33" customFormat="1" ht="17.100000000000001" customHeight="1" x14ac:dyDescent="0.15">
      <c r="C177" s="44"/>
      <c r="D177" s="44"/>
    </row>
    <row r="178" spans="3:4" s="33" customFormat="1" ht="17.100000000000001" customHeight="1" x14ac:dyDescent="0.15">
      <c r="C178" s="44"/>
      <c r="D178" s="44"/>
    </row>
    <row r="179" spans="3:4" s="33" customFormat="1" ht="17.100000000000001" customHeight="1" x14ac:dyDescent="0.15">
      <c r="C179" s="44"/>
      <c r="D179" s="44"/>
    </row>
    <row r="180" spans="3:4" s="33" customFormat="1" ht="17.100000000000001" customHeight="1" x14ac:dyDescent="0.15">
      <c r="C180" s="44"/>
      <c r="D180" s="44"/>
    </row>
    <row r="181" spans="3:4" s="33" customFormat="1" ht="17.100000000000001" customHeight="1" x14ac:dyDescent="0.15">
      <c r="C181" s="44"/>
      <c r="D181" s="44"/>
    </row>
    <row r="182" spans="3:4" s="33" customFormat="1" ht="17.100000000000001" customHeight="1" x14ac:dyDescent="0.15">
      <c r="C182" s="44"/>
      <c r="D182" s="44"/>
    </row>
    <row r="183" spans="3:4" s="33" customFormat="1" ht="17.100000000000001" customHeight="1" x14ac:dyDescent="0.15">
      <c r="C183" s="44"/>
      <c r="D183" s="44"/>
    </row>
    <row r="184" spans="3:4" s="33" customFormat="1" ht="17.100000000000001" customHeight="1" x14ac:dyDescent="0.15">
      <c r="C184" s="44"/>
      <c r="D184" s="44"/>
    </row>
    <row r="185" spans="3:4" s="33" customFormat="1" ht="17.100000000000001" customHeight="1" x14ac:dyDescent="0.15">
      <c r="C185" s="44"/>
      <c r="D185" s="44"/>
    </row>
    <row r="186" spans="3:4" s="33" customFormat="1" ht="17.100000000000001" customHeight="1" x14ac:dyDescent="0.15">
      <c r="C186" s="44"/>
      <c r="D186" s="44"/>
    </row>
    <row r="187" spans="3:4" s="33" customFormat="1" ht="17.100000000000001" customHeight="1" x14ac:dyDescent="0.15">
      <c r="C187" s="44"/>
      <c r="D187" s="44"/>
    </row>
    <row r="188" spans="3:4" s="33" customFormat="1" ht="17.100000000000001" customHeight="1" x14ac:dyDescent="0.15">
      <c r="C188" s="44"/>
      <c r="D188" s="44"/>
    </row>
    <row r="189" spans="3:4" s="33" customFormat="1" ht="17.100000000000001" customHeight="1" x14ac:dyDescent="0.15">
      <c r="C189" s="44"/>
      <c r="D189" s="44"/>
    </row>
    <row r="190" spans="3:4" s="33" customFormat="1" ht="17.100000000000001" customHeight="1" x14ac:dyDescent="0.15">
      <c r="C190" s="44"/>
      <c r="D190" s="44"/>
    </row>
    <row r="191" spans="3:4" s="33" customFormat="1" ht="17.100000000000001" customHeight="1" x14ac:dyDescent="0.15">
      <c r="C191" s="44"/>
      <c r="D191" s="44"/>
    </row>
    <row r="192" spans="3:4" s="33" customFormat="1" ht="17.100000000000001" customHeight="1" x14ac:dyDescent="0.15">
      <c r="C192" s="44"/>
      <c r="D192" s="44"/>
    </row>
    <row r="193" spans="3:4" s="33" customFormat="1" ht="17.100000000000001" customHeight="1" x14ac:dyDescent="0.15">
      <c r="C193" s="44"/>
      <c r="D193" s="44"/>
    </row>
    <row r="194" spans="3:4" s="33" customFormat="1" ht="17.100000000000001" customHeight="1" x14ac:dyDescent="0.15">
      <c r="C194" s="44"/>
      <c r="D194" s="44"/>
    </row>
    <row r="195" spans="3:4" s="33" customFormat="1" ht="17.100000000000001" customHeight="1" x14ac:dyDescent="0.15">
      <c r="C195" s="44"/>
      <c r="D195" s="44"/>
    </row>
    <row r="196" spans="3:4" s="33" customFormat="1" ht="17.100000000000001" customHeight="1" x14ac:dyDescent="0.15">
      <c r="C196" s="44"/>
      <c r="D196" s="44"/>
    </row>
    <row r="197" spans="3:4" s="33" customFormat="1" ht="17.100000000000001" customHeight="1" x14ac:dyDescent="0.15">
      <c r="C197" s="44"/>
      <c r="D197" s="44"/>
    </row>
    <row r="198" spans="3:4" s="33" customFormat="1" ht="17.100000000000001" customHeight="1" x14ac:dyDescent="0.15">
      <c r="C198" s="44"/>
      <c r="D198" s="44"/>
    </row>
    <row r="199" spans="3:4" s="33" customFormat="1" ht="17.100000000000001" customHeight="1" x14ac:dyDescent="0.15">
      <c r="C199" s="44"/>
      <c r="D199" s="44"/>
    </row>
    <row r="200" spans="3:4" s="33" customFormat="1" ht="17.100000000000001" customHeight="1" x14ac:dyDescent="0.15">
      <c r="C200" s="44"/>
      <c r="D200" s="44"/>
    </row>
    <row r="201" spans="3:4" s="33" customFormat="1" ht="17.100000000000001" customHeight="1" x14ac:dyDescent="0.15">
      <c r="C201" s="44"/>
      <c r="D201" s="44"/>
    </row>
    <row r="202" spans="3:4" s="33" customFormat="1" ht="17.100000000000001" customHeight="1" x14ac:dyDescent="0.15">
      <c r="C202" s="44"/>
      <c r="D202" s="44"/>
    </row>
    <row r="203" spans="3:4" s="33" customFormat="1" ht="17.100000000000001" customHeight="1" x14ac:dyDescent="0.15">
      <c r="C203" s="44"/>
      <c r="D203" s="44"/>
    </row>
    <row r="204" spans="3:4" s="33" customFormat="1" ht="17.100000000000001" customHeight="1" x14ac:dyDescent="0.15">
      <c r="C204" s="44"/>
      <c r="D204" s="44"/>
    </row>
    <row r="205" spans="3:4" s="33" customFormat="1" ht="17.100000000000001" customHeight="1" x14ac:dyDescent="0.15">
      <c r="C205" s="44"/>
      <c r="D205" s="44"/>
    </row>
    <row r="206" spans="3:4" s="33" customFormat="1" ht="17.100000000000001" customHeight="1" x14ac:dyDescent="0.15">
      <c r="C206" s="44"/>
      <c r="D206" s="44"/>
    </row>
    <row r="207" spans="3:4" s="33" customFormat="1" ht="17.100000000000001" customHeight="1" x14ac:dyDescent="0.15">
      <c r="C207" s="44"/>
      <c r="D207" s="44"/>
    </row>
    <row r="208" spans="3:4" s="33" customFormat="1" ht="17.100000000000001" customHeight="1" x14ac:dyDescent="0.15">
      <c r="C208" s="44"/>
      <c r="D208" s="44"/>
    </row>
    <row r="209" spans="3:4" s="33" customFormat="1" ht="17.100000000000001" customHeight="1" x14ac:dyDescent="0.15">
      <c r="C209" s="44"/>
      <c r="D209" s="44"/>
    </row>
    <row r="210" spans="3:4" s="33" customFormat="1" ht="17.100000000000001" customHeight="1" x14ac:dyDescent="0.15">
      <c r="C210" s="44"/>
      <c r="D210" s="44"/>
    </row>
    <row r="211" spans="3:4" s="33" customFormat="1" ht="17.100000000000001" customHeight="1" x14ac:dyDescent="0.15">
      <c r="C211" s="44"/>
      <c r="D211" s="44"/>
    </row>
    <row r="212" spans="3:4" s="33" customFormat="1" ht="17.100000000000001" customHeight="1" x14ac:dyDescent="0.15">
      <c r="C212" s="44"/>
      <c r="D212" s="44"/>
    </row>
    <row r="213" spans="3:4" s="33" customFormat="1" ht="17.100000000000001" customHeight="1" x14ac:dyDescent="0.15">
      <c r="C213" s="44"/>
      <c r="D213" s="44"/>
    </row>
    <row r="214" spans="3:4" s="33" customFormat="1" ht="17.100000000000001" customHeight="1" x14ac:dyDescent="0.15">
      <c r="C214" s="44"/>
      <c r="D214" s="44"/>
    </row>
    <row r="215" spans="3:4" s="33" customFormat="1" ht="17.100000000000001" customHeight="1" x14ac:dyDescent="0.15">
      <c r="C215" s="44"/>
      <c r="D215" s="44"/>
    </row>
    <row r="216" spans="3:4" s="33" customFormat="1" ht="17.100000000000001" customHeight="1" x14ac:dyDescent="0.15">
      <c r="C216" s="44"/>
      <c r="D216" s="44"/>
    </row>
    <row r="217" spans="3:4" s="33" customFormat="1" ht="17.100000000000001" customHeight="1" x14ac:dyDescent="0.15">
      <c r="C217" s="44"/>
      <c r="D217" s="44"/>
    </row>
    <row r="218" spans="3:4" s="33" customFormat="1" ht="17.100000000000001" customHeight="1" x14ac:dyDescent="0.15">
      <c r="C218" s="44"/>
      <c r="D218" s="44"/>
    </row>
    <row r="219" spans="3:4" s="33" customFormat="1" ht="17.100000000000001" customHeight="1" x14ac:dyDescent="0.15">
      <c r="C219" s="44"/>
      <c r="D219" s="44"/>
    </row>
    <row r="220" spans="3:4" s="33" customFormat="1" ht="17.100000000000001" customHeight="1" x14ac:dyDescent="0.15">
      <c r="C220" s="44"/>
      <c r="D220" s="44"/>
    </row>
    <row r="221" spans="3:4" s="33" customFormat="1" ht="17.100000000000001" customHeight="1" x14ac:dyDescent="0.15">
      <c r="C221" s="44"/>
      <c r="D221" s="44"/>
    </row>
    <row r="222" spans="3:4" s="33" customFormat="1" ht="17.100000000000001" customHeight="1" x14ac:dyDescent="0.15">
      <c r="C222" s="44"/>
      <c r="D222" s="44"/>
    </row>
    <row r="223" spans="3:4" s="33" customFormat="1" ht="17.100000000000001" customHeight="1" x14ac:dyDescent="0.15">
      <c r="C223" s="44"/>
      <c r="D223" s="44"/>
    </row>
    <row r="224" spans="3:4" s="33" customFormat="1" ht="17.100000000000001" customHeight="1" x14ac:dyDescent="0.15">
      <c r="C224" s="44"/>
      <c r="D224" s="44"/>
    </row>
    <row r="225" spans="3:4" s="33" customFormat="1" ht="17.100000000000001" customHeight="1" x14ac:dyDescent="0.15">
      <c r="C225" s="44"/>
      <c r="D225" s="44"/>
    </row>
  </sheetData>
  <phoneticPr fontId="2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7327C84-DD82-4179-81A6-7D962566BAE4}">
            <xm:f>$D$72=BPC_DATA!$G$86</xm:f>
            <x14:dxf>
              <fill>
                <patternFill>
                  <fgColor indexed="64"/>
                  <bgColor rgb="FF00B050"/>
                </patternFill>
              </fill>
            </x14:dxf>
          </x14:cfRule>
          <x14:cfRule type="expression" priority="1" id="{770E30B9-0131-4FB3-B82B-FDA7658097B1}">
            <xm:f>$D$72&lt;&gt;BPC_DATA!$G$86</xm:f>
            <x14:dxf>
              <fill>
                <patternFill>
                  <fgColor indexed="64"/>
                  <bgColor rgb="FFFF0000"/>
                </patternFill>
              </fill>
            </x14:dxf>
          </x14:cfRule>
          <xm:sqref>D72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37"/>
  <sheetViews>
    <sheetView tabSelected="1" workbookViewId="0">
      <selection activeCell="F4" sqref="F4"/>
    </sheetView>
  </sheetViews>
  <sheetFormatPr defaultColWidth="27.88671875" defaultRowHeight="13.8" x14ac:dyDescent="0.25"/>
  <cols>
    <col min="1" max="1" width="1.6640625" style="1" customWidth="1"/>
    <col min="2" max="2" width="79" style="1" hidden="1" customWidth="1"/>
    <col min="3" max="3" width="9.6640625" style="1" hidden="1" customWidth="1"/>
    <col min="4" max="4" width="63.5546875" style="51" customWidth="1"/>
    <col min="5" max="5" width="4.44140625" style="1" bestFit="1" customWidth="1"/>
    <col min="6" max="7" width="17.6640625" style="1" customWidth="1"/>
    <col min="8" max="8" width="16.33203125" style="1" customWidth="1"/>
    <col min="9" max="9" width="5.44140625" style="1" customWidth="1"/>
    <col min="10" max="16384" width="27.88671875" style="1"/>
  </cols>
  <sheetData>
    <row r="1" spans="2:8" x14ac:dyDescent="0.25">
      <c r="H1" s="1" t="s">
        <v>536</v>
      </c>
    </row>
    <row r="2" spans="2:8" ht="23.4" x14ac:dyDescent="0.25">
      <c r="B2" s="2" t="s">
        <v>0</v>
      </c>
      <c r="F2" s="48" t="s">
        <v>146</v>
      </c>
      <c r="G2" s="48"/>
      <c r="H2" s="1" t="s">
        <v>537</v>
      </c>
    </row>
    <row r="3" spans="2:8" x14ac:dyDescent="0.25">
      <c r="B3" s="3"/>
      <c r="D3" s="49" t="s">
        <v>147</v>
      </c>
      <c r="E3" s="49"/>
      <c r="F3" s="4" t="e">
        <f ca="1">_xll.EPMContextMember(,"TIME",,1)</f>
        <v>#NAME?</v>
      </c>
      <c r="H3" s="1" t="s">
        <v>538</v>
      </c>
    </row>
    <row r="4" spans="2:8" x14ac:dyDescent="0.25">
      <c r="B4" s="3"/>
      <c r="D4" s="50" t="s">
        <v>3</v>
      </c>
      <c r="E4" s="50"/>
      <c r="F4" s="5" t="e">
        <f ca="1">_xll.EPMContextMember(,"SCOPE",,1)</f>
        <v>#NAME?</v>
      </c>
    </row>
    <row r="5" spans="2:8" x14ac:dyDescent="0.25">
      <c r="B5" s="3"/>
      <c r="D5" s="50" t="s">
        <v>4</v>
      </c>
      <c r="E5" s="50"/>
      <c r="F5" s="5" t="e">
        <f ca="1">_xll.EPMContextMember(,"ENTITY",C22,TRUE)</f>
        <v>#NAME?</v>
      </c>
    </row>
    <row r="6" spans="2:8" x14ac:dyDescent="0.25">
      <c r="B6" s="6"/>
      <c r="D6" s="50" t="s">
        <v>5</v>
      </c>
      <c r="E6" s="50"/>
      <c r="F6" s="5" t="e">
        <f ca="1">_xll.EPMContextMember(,"AUDITID",B22,TRUE)</f>
        <v>#NAME?</v>
      </c>
    </row>
    <row r="7" spans="2:8" ht="18.75" customHeight="1" x14ac:dyDescent="0.25">
      <c r="B7" s="46" t="s">
        <v>6</v>
      </c>
      <c r="C7" s="47"/>
      <c r="D7" s="7"/>
      <c r="E7" s="7"/>
      <c r="F7" s="8"/>
    </row>
    <row r="8" spans="2:8" x14ac:dyDescent="0.25">
      <c r="B8" s="9"/>
      <c r="C8" s="10"/>
      <c r="D8" s="52" t="s">
        <v>148</v>
      </c>
      <c r="E8" s="11" t="s">
        <v>149</v>
      </c>
      <c r="F8" s="12" t="s">
        <v>9</v>
      </c>
      <c r="G8" s="12" t="s">
        <v>10</v>
      </c>
    </row>
    <row r="9" spans="2:8" ht="21" hidden="1" customHeight="1" x14ac:dyDescent="0.25">
      <c r="B9" s="9"/>
      <c r="C9" s="10"/>
    </row>
    <row r="10" spans="2:8" ht="21" hidden="1" customHeight="1" x14ac:dyDescent="0.25">
      <c r="B10" s="3" t="s">
        <v>11</v>
      </c>
      <c r="C10" s="3"/>
    </row>
    <row r="11" spans="2:8" ht="21" hidden="1" customHeight="1" x14ac:dyDescent="0.25">
      <c r="B11" s="3" t="s">
        <v>12</v>
      </c>
      <c r="C11" s="3"/>
      <c r="F11" s="13" t="e">
        <f ca="1" xml:space="preserve"> _xll.EPMOlapMemberO("[TIME].[PARENTH1].[2019.04]","","2019.04 - 2019年4月","","000")</f>
        <v>#NAME?</v>
      </c>
      <c r="G11" s="13" t="e">
        <f ca="1" xml:space="preserve"> _xll.EPMOlapMemberO("[TIME].[PARENTH1].[2019.04]","","2019.04 - 2019年4月","","000")</f>
        <v>#NAME?</v>
      </c>
    </row>
    <row r="12" spans="2:8" ht="14.25" hidden="1" customHeight="1" x14ac:dyDescent="0.25">
      <c r="B12" s="3" t="s">
        <v>13</v>
      </c>
      <c r="C12" s="3"/>
      <c r="D12" s="53" t="s">
        <v>7</v>
      </c>
      <c r="E12" s="14" t="s">
        <v>8</v>
      </c>
      <c r="F12" s="13" t="e">
        <f ca="1" xml:space="preserve"> _xll.EPMOlapMemberO("[FLOW].[PARENTH1].[F01]","","F01 - 期初","","000")</f>
        <v>#NAME?</v>
      </c>
      <c r="G12" s="13" t="e">
        <f ca="1" xml:space="preserve"> _xll.EPMOlapMemberO("[FLOW].[PARENTH1].[F99]","","期末数","","000")</f>
        <v>#NAME?</v>
      </c>
    </row>
    <row r="13" spans="2:8" x14ac:dyDescent="0.25">
      <c r="B13" s="3" t="s">
        <v>14</v>
      </c>
      <c r="C13" s="3" t="e">
        <f ca="1">_xll.EPMContextMember(,"SCOPE",,FALSE)</f>
        <v>#NAME?</v>
      </c>
      <c r="D13" s="54" t="s">
        <v>411</v>
      </c>
      <c r="E13" s="16">
        <v>1</v>
      </c>
      <c r="F13" s="17">
        <v>1</v>
      </c>
      <c r="G13" s="17">
        <v>201</v>
      </c>
    </row>
    <row r="14" spans="2:8" x14ac:dyDescent="0.25">
      <c r="B14" s="3" t="str">
        <f>B10&amp;";"&amp;B11&amp;";"&amp;B12&amp;";"&amp;B13</f>
        <v>ID=LC_GRP;ID=LC_STD;ID=LC_ADT;ID=INPUT_GL</v>
      </c>
      <c r="C14" s="3" t="e">
        <f ca="1">"ID="&amp;C15</f>
        <v>#NAME?</v>
      </c>
      <c r="D14" s="55" t="s">
        <v>412</v>
      </c>
      <c r="E14" s="16">
        <v>2</v>
      </c>
      <c r="F14" s="17">
        <v>2</v>
      </c>
      <c r="G14" s="17">
        <v>202</v>
      </c>
    </row>
    <row r="15" spans="2:8" x14ac:dyDescent="0.25">
      <c r="B15" s="3" t="s">
        <v>15</v>
      </c>
      <c r="C15" s="1" t="e">
        <f ca="1">RIGHT(C13,5)</f>
        <v>#NAME?</v>
      </c>
      <c r="D15" s="55" t="s">
        <v>413</v>
      </c>
      <c r="E15" s="16">
        <v>3</v>
      </c>
      <c r="F15" s="17">
        <v>3</v>
      </c>
      <c r="G15" s="17">
        <v>203</v>
      </c>
    </row>
    <row r="16" spans="2:8" x14ac:dyDescent="0.25">
      <c r="B16" s="3" t="s">
        <v>16</v>
      </c>
      <c r="D16" s="55" t="s">
        <v>414</v>
      </c>
      <c r="E16" s="16">
        <v>4</v>
      </c>
      <c r="F16" s="17">
        <v>4</v>
      </c>
      <c r="G16" s="17">
        <v>204</v>
      </c>
    </row>
    <row r="17" spans="2:7" x14ac:dyDescent="0.25">
      <c r="B17" s="3" t="s">
        <v>17</v>
      </c>
      <c r="D17" s="55" t="s">
        <v>415</v>
      </c>
      <c r="E17" s="16">
        <v>5</v>
      </c>
      <c r="F17" s="17">
        <v>5</v>
      </c>
      <c r="G17" s="17">
        <v>205</v>
      </c>
    </row>
    <row r="18" spans="2:7" x14ac:dyDescent="0.25">
      <c r="B18" s="3" t="s">
        <v>150</v>
      </c>
      <c r="D18" s="55" t="s">
        <v>416</v>
      </c>
      <c r="E18" s="16">
        <v>6</v>
      </c>
      <c r="F18" s="17">
        <v>6</v>
      </c>
      <c r="G18" s="17">
        <v>206</v>
      </c>
    </row>
    <row r="19" spans="2:7" x14ac:dyDescent="0.25">
      <c r="B19" s="3" t="s">
        <v>151</v>
      </c>
      <c r="D19" s="55" t="s">
        <v>417</v>
      </c>
      <c r="E19" s="16">
        <v>7</v>
      </c>
      <c r="F19" s="17">
        <v>7</v>
      </c>
      <c r="G19" s="17">
        <v>207</v>
      </c>
    </row>
    <row r="20" spans="2:7" x14ac:dyDescent="0.25">
      <c r="B20" s="3" t="s">
        <v>20</v>
      </c>
      <c r="D20" s="55" t="s">
        <v>418</v>
      </c>
      <c r="E20" s="16">
        <v>8</v>
      </c>
      <c r="F20" s="17">
        <v>8</v>
      </c>
      <c r="G20" s="17">
        <v>208</v>
      </c>
    </row>
    <row r="21" spans="2:7" x14ac:dyDescent="0.25">
      <c r="B21" s="3" t="str">
        <f>B15&amp;";"&amp;B16&amp;";"&amp;B17&amp;";"&amp;B18&amp;";"&amp;B19&amp;";"&amp;B20</f>
        <v>ID=L_CON;ID=P_CON;ID=G_CON;ID=R_L_CON_DFL;ID=R_P_CON_DFL;ID=R_G_CON_DFL</v>
      </c>
      <c r="D21" s="55" t="s">
        <v>419</v>
      </c>
      <c r="E21" s="16">
        <v>9</v>
      </c>
      <c r="F21" s="17">
        <v>9</v>
      </c>
      <c r="G21" s="17">
        <v>209</v>
      </c>
    </row>
    <row r="22" spans="2:7" ht="14.4" x14ac:dyDescent="0.25">
      <c r="B22" s="3" t="e">
        <f ca="1">IF(C13="S_NONE",B14,B21)</f>
        <v>#NAME?</v>
      </c>
      <c r="C22" s="20" t="e">
        <f ca="1">IF(C13&lt;&gt;"S_NONE",C14,"")</f>
        <v>#NAME?</v>
      </c>
      <c r="D22" s="55" t="s">
        <v>420</v>
      </c>
      <c r="E22" s="16">
        <v>10</v>
      </c>
      <c r="F22" s="17">
        <v>21</v>
      </c>
      <c r="G22" s="17">
        <v>210</v>
      </c>
    </row>
    <row r="23" spans="2:7" x14ac:dyDescent="0.25">
      <c r="B23" s="3"/>
      <c r="D23" s="55" t="s">
        <v>421</v>
      </c>
      <c r="E23" s="16">
        <v>11</v>
      </c>
      <c r="F23" s="17">
        <v>22</v>
      </c>
      <c r="G23" s="17">
        <v>211</v>
      </c>
    </row>
    <row r="24" spans="2:7" x14ac:dyDescent="0.25">
      <c r="D24" s="55" t="s">
        <v>422</v>
      </c>
      <c r="E24" s="16">
        <v>12</v>
      </c>
      <c r="F24" s="17">
        <v>23</v>
      </c>
      <c r="G24" s="17">
        <v>212</v>
      </c>
    </row>
    <row r="25" spans="2:7" x14ac:dyDescent="0.25">
      <c r="C25" s="3"/>
      <c r="D25" s="55" t="s">
        <v>423</v>
      </c>
      <c r="E25" s="16">
        <v>13</v>
      </c>
      <c r="F25" s="17">
        <v>24</v>
      </c>
      <c r="G25" s="17">
        <v>213</v>
      </c>
    </row>
    <row r="26" spans="2:7" x14ac:dyDescent="0.25">
      <c r="D26" s="55" t="s">
        <v>424</v>
      </c>
      <c r="E26" s="16">
        <v>14</v>
      </c>
      <c r="F26" s="17">
        <v>25</v>
      </c>
      <c r="G26" s="17">
        <v>214</v>
      </c>
    </row>
    <row r="27" spans="2:7" x14ac:dyDescent="0.25">
      <c r="D27" s="55" t="s">
        <v>425</v>
      </c>
      <c r="E27" s="16">
        <v>15</v>
      </c>
      <c r="F27" s="17">
        <v>26</v>
      </c>
      <c r="G27" s="17">
        <v>215</v>
      </c>
    </row>
    <row r="28" spans="2:7" ht="14.4" x14ac:dyDescent="0.25">
      <c r="C28" s="21"/>
      <c r="D28" s="55" t="s">
        <v>426</v>
      </c>
      <c r="E28" s="16">
        <v>16</v>
      </c>
      <c r="F28" s="17">
        <v>27</v>
      </c>
      <c r="G28" s="17">
        <v>216</v>
      </c>
    </row>
    <row r="29" spans="2:7" x14ac:dyDescent="0.25">
      <c r="D29" s="56" t="s">
        <v>427</v>
      </c>
      <c r="E29" s="16">
        <v>17</v>
      </c>
      <c r="F29" s="17">
        <v>28</v>
      </c>
      <c r="G29" s="17">
        <v>217</v>
      </c>
    </row>
    <row r="30" spans="2:7" x14ac:dyDescent="0.25">
      <c r="D30" s="57" t="s">
        <v>428</v>
      </c>
      <c r="E30" s="16">
        <v>18</v>
      </c>
      <c r="F30" s="17">
        <v>29</v>
      </c>
      <c r="G30" s="17">
        <v>218</v>
      </c>
    </row>
    <row r="31" spans="2:7" hidden="1" x14ac:dyDescent="0.25">
      <c r="D31" s="56" t="s">
        <v>429</v>
      </c>
      <c r="E31" s="16"/>
      <c r="F31" s="17">
        <v>30</v>
      </c>
      <c r="G31" s="17">
        <v>219</v>
      </c>
    </row>
    <row r="32" spans="2:7" hidden="1" x14ac:dyDescent="0.25">
      <c r="D32" s="56" t="s">
        <v>430</v>
      </c>
      <c r="E32" s="16"/>
      <c r="F32" s="17">
        <v>31</v>
      </c>
      <c r="G32" s="17">
        <v>220</v>
      </c>
    </row>
    <row r="33" spans="4:7" hidden="1" x14ac:dyDescent="0.25">
      <c r="D33" s="56" t="s">
        <v>431</v>
      </c>
      <c r="E33" s="16"/>
      <c r="F33" s="17">
        <v>32</v>
      </c>
      <c r="G33" s="17">
        <v>221</v>
      </c>
    </row>
    <row r="34" spans="4:7" hidden="1" x14ac:dyDescent="0.25">
      <c r="D34" s="56" t="s">
        <v>432</v>
      </c>
      <c r="E34" s="16"/>
      <c r="F34" s="17">
        <v>33</v>
      </c>
      <c r="G34" s="17">
        <v>222</v>
      </c>
    </row>
    <row r="35" spans="4:7" x14ac:dyDescent="0.25">
      <c r="D35" s="55" t="s">
        <v>433</v>
      </c>
      <c r="E35" s="16">
        <v>19</v>
      </c>
      <c r="F35" s="17">
        <v>34</v>
      </c>
      <c r="G35" s="17">
        <v>223</v>
      </c>
    </row>
    <row r="36" spans="4:7" x14ac:dyDescent="0.25">
      <c r="D36" s="55" t="s">
        <v>434</v>
      </c>
      <c r="E36" s="16">
        <v>20</v>
      </c>
      <c r="F36" s="17">
        <v>35</v>
      </c>
      <c r="G36" s="17">
        <v>224</v>
      </c>
    </row>
    <row r="37" spans="4:7" x14ac:dyDescent="0.25">
      <c r="D37" s="55" t="s">
        <v>435</v>
      </c>
      <c r="E37" s="16">
        <v>21</v>
      </c>
      <c r="F37" s="17">
        <v>36</v>
      </c>
      <c r="G37" s="17">
        <v>225</v>
      </c>
    </row>
    <row r="38" spans="4:7" x14ac:dyDescent="0.25">
      <c r="D38" s="55" t="s">
        <v>436</v>
      </c>
      <c r="E38" s="16">
        <v>22</v>
      </c>
      <c r="F38" s="17">
        <v>37</v>
      </c>
      <c r="G38" s="17">
        <v>226</v>
      </c>
    </row>
    <row r="39" spans="4:7" x14ac:dyDescent="0.25">
      <c r="D39" s="55" t="s">
        <v>437</v>
      </c>
      <c r="E39" s="16">
        <v>23</v>
      </c>
      <c r="F39" s="17">
        <v>38</v>
      </c>
      <c r="G39" s="17">
        <v>227</v>
      </c>
    </row>
    <row r="40" spans="4:7" x14ac:dyDescent="0.25">
      <c r="D40" s="55" t="s">
        <v>438</v>
      </c>
      <c r="E40" s="16">
        <v>24</v>
      </c>
      <c r="F40" s="17">
        <v>39</v>
      </c>
      <c r="G40" s="17">
        <v>228</v>
      </c>
    </row>
    <row r="41" spans="4:7" x14ac:dyDescent="0.25">
      <c r="D41" s="58" t="s">
        <v>439</v>
      </c>
      <c r="E41" s="16">
        <v>25</v>
      </c>
      <c r="F41" s="17">
        <v>40</v>
      </c>
      <c r="G41" s="17">
        <v>229</v>
      </c>
    </row>
    <row r="42" spans="4:7" x14ac:dyDescent="0.25">
      <c r="D42" s="54" t="s">
        <v>440</v>
      </c>
      <c r="E42" s="16">
        <v>26</v>
      </c>
      <c r="F42" s="17">
        <v>41</v>
      </c>
      <c r="G42" s="17">
        <v>230</v>
      </c>
    </row>
    <row r="43" spans="4:7" x14ac:dyDescent="0.25">
      <c r="D43" s="55" t="s">
        <v>441</v>
      </c>
      <c r="E43" s="16">
        <v>27</v>
      </c>
      <c r="F43" s="17">
        <v>42</v>
      </c>
      <c r="G43" s="17">
        <v>231</v>
      </c>
    </row>
    <row r="44" spans="4:7" x14ac:dyDescent="0.25">
      <c r="D44" s="55" t="s">
        <v>442</v>
      </c>
      <c r="E44" s="16">
        <v>28</v>
      </c>
      <c r="F44" s="17">
        <v>43</v>
      </c>
      <c r="G44" s="17">
        <v>232</v>
      </c>
    </row>
    <row r="45" spans="4:7" x14ac:dyDescent="0.25">
      <c r="D45" s="55" t="s">
        <v>443</v>
      </c>
      <c r="E45" s="16">
        <v>29</v>
      </c>
      <c r="F45" s="17">
        <v>44</v>
      </c>
      <c r="G45" s="17">
        <v>233</v>
      </c>
    </row>
    <row r="46" spans="4:7" x14ac:dyDescent="0.25">
      <c r="D46" s="55" t="s">
        <v>444</v>
      </c>
      <c r="E46" s="16">
        <v>30</v>
      </c>
      <c r="F46" s="17">
        <v>45</v>
      </c>
      <c r="G46" s="17">
        <v>234</v>
      </c>
    </row>
    <row r="47" spans="4:7" x14ac:dyDescent="0.25">
      <c r="D47" s="55" t="s">
        <v>445</v>
      </c>
      <c r="E47" s="16">
        <v>31</v>
      </c>
      <c r="F47" s="17">
        <v>46</v>
      </c>
      <c r="G47" s="17">
        <v>235</v>
      </c>
    </row>
    <row r="48" spans="4:7" x14ac:dyDescent="0.25">
      <c r="D48" s="56" t="s">
        <v>446</v>
      </c>
      <c r="E48" s="16">
        <v>32</v>
      </c>
      <c r="F48" s="17">
        <v>47</v>
      </c>
      <c r="G48" s="17">
        <v>236</v>
      </c>
    </row>
    <row r="49" spans="4:7" x14ac:dyDescent="0.25">
      <c r="D49" s="55" t="s">
        <v>447</v>
      </c>
      <c r="E49" s="16">
        <v>33</v>
      </c>
      <c r="F49" s="17">
        <v>48</v>
      </c>
      <c r="G49" s="17">
        <v>237</v>
      </c>
    </row>
    <row r="50" spans="4:7" x14ac:dyDescent="0.25">
      <c r="D50" s="59" t="s">
        <v>448</v>
      </c>
      <c r="E50" s="16">
        <v>34</v>
      </c>
      <c r="F50" s="17">
        <v>49</v>
      </c>
      <c r="G50" s="17">
        <v>238</v>
      </c>
    </row>
    <row r="51" spans="4:7" x14ac:dyDescent="0.25">
      <c r="D51" s="59" t="s">
        <v>449</v>
      </c>
      <c r="E51" s="16">
        <v>35</v>
      </c>
      <c r="F51" s="17">
        <v>50</v>
      </c>
      <c r="G51" s="17">
        <v>239</v>
      </c>
    </row>
    <row r="52" spans="4:7" x14ac:dyDescent="0.25">
      <c r="D52" s="56" t="s">
        <v>450</v>
      </c>
      <c r="E52" s="16">
        <v>36</v>
      </c>
      <c r="F52" s="17">
        <v>51</v>
      </c>
      <c r="G52" s="17">
        <v>240</v>
      </c>
    </row>
    <row r="53" spans="4:7" x14ac:dyDescent="0.25">
      <c r="D53" s="56" t="s">
        <v>451</v>
      </c>
      <c r="E53" s="16">
        <v>37</v>
      </c>
      <c r="F53" s="17">
        <v>52</v>
      </c>
      <c r="G53" s="17">
        <v>241</v>
      </c>
    </row>
    <row r="54" spans="4:7" x14ac:dyDescent="0.25">
      <c r="D54" s="55" t="s">
        <v>452</v>
      </c>
      <c r="E54" s="16">
        <v>38</v>
      </c>
      <c r="F54" s="17">
        <v>53</v>
      </c>
      <c r="G54" s="17">
        <v>242</v>
      </c>
    </row>
    <row r="55" spans="4:7" x14ac:dyDescent="0.25">
      <c r="D55" s="55" t="s">
        <v>453</v>
      </c>
      <c r="E55" s="16">
        <v>39</v>
      </c>
      <c r="F55" s="17">
        <v>54</v>
      </c>
      <c r="G55" s="17">
        <v>243</v>
      </c>
    </row>
    <row r="56" spans="4:7" x14ac:dyDescent="0.25">
      <c r="D56" s="55" t="s">
        <v>454</v>
      </c>
      <c r="E56" s="16">
        <v>40</v>
      </c>
      <c r="F56" s="17">
        <v>55</v>
      </c>
      <c r="G56" s="17">
        <v>244</v>
      </c>
    </row>
    <row r="57" spans="4:7" x14ac:dyDescent="0.25">
      <c r="D57" s="55" t="s">
        <v>455</v>
      </c>
      <c r="E57" s="16">
        <v>41</v>
      </c>
      <c r="F57" s="17">
        <v>56</v>
      </c>
      <c r="G57" s="17">
        <v>245</v>
      </c>
    </row>
    <row r="58" spans="4:7" x14ac:dyDescent="0.25">
      <c r="D58" s="55" t="s">
        <v>456</v>
      </c>
      <c r="E58" s="16">
        <v>42</v>
      </c>
      <c r="F58" s="17">
        <v>57</v>
      </c>
      <c r="G58" s="17">
        <v>246</v>
      </c>
    </row>
    <row r="59" spans="4:7" x14ac:dyDescent="0.25">
      <c r="D59" s="55" t="s">
        <v>457</v>
      </c>
      <c r="E59" s="16">
        <v>43</v>
      </c>
      <c r="F59" s="17">
        <v>58</v>
      </c>
      <c r="G59" s="17">
        <v>247</v>
      </c>
    </row>
    <row r="60" spans="4:7" x14ac:dyDescent="0.25">
      <c r="D60" s="55" t="s">
        <v>458</v>
      </c>
      <c r="E60" s="16">
        <v>44</v>
      </c>
      <c r="F60" s="17">
        <v>59</v>
      </c>
      <c r="G60" s="17">
        <v>248</v>
      </c>
    </row>
    <row r="61" spans="4:7" x14ac:dyDescent="0.25">
      <c r="D61" s="55" t="s">
        <v>459</v>
      </c>
      <c r="E61" s="16">
        <v>45</v>
      </c>
      <c r="F61" s="17">
        <v>60</v>
      </c>
      <c r="G61" s="17">
        <v>249</v>
      </c>
    </row>
    <row r="62" spans="4:7" x14ac:dyDescent="0.25">
      <c r="D62" s="55" t="s">
        <v>460</v>
      </c>
      <c r="E62" s="16">
        <v>46</v>
      </c>
      <c r="F62" s="17">
        <v>61</v>
      </c>
      <c r="G62" s="17">
        <v>250</v>
      </c>
    </row>
    <row r="63" spans="4:7" x14ac:dyDescent="0.25">
      <c r="D63" s="55" t="s">
        <v>461</v>
      </c>
      <c r="E63" s="16">
        <v>47</v>
      </c>
      <c r="F63" s="17">
        <v>62</v>
      </c>
      <c r="G63" s="17">
        <v>251</v>
      </c>
    </row>
    <row r="64" spans="4:7" x14ac:dyDescent="0.25">
      <c r="D64" s="55" t="s">
        <v>462</v>
      </c>
      <c r="E64" s="16">
        <v>48</v>
      </c>
      <c r="F64" s="17">
        <v>63</v>
      </c>
      <c r="G64" s="17">
        <v>252</v>
      </c>
    </row>
    <row r="65" spans="4:7" x14ac:dyDescent="0.25">
      <c r="D65" s="55" t="s">
        <v>463</v>
      </c>
      <c r="E65" s="16">
        <v>49</v>
      </c>
      <c r="F65" s="17">
        <v>64</v>
      </c>
      <c r="G65" s="17">
        <v>253</v>
      </c>
    </row>
    <row r="66" spans="4:7" x14ac:dyDescent="0.25">
      <c r="D66" s="58" t="s">
        <v>464</v>
      </c>
      <c r="E66" s="16">
        <v>50</v>
      </c>
      <c r="F66" s="17">
        <v>65</v>
      </c>
      <c r="G66" s="17">
        <v>254</v>
      </c>
    </row>
    <row r="67" spans="4:7" x14ac:dyDescent="0.25">
      <c r="D67" s="60" t="s">
        <v>465</v>
      </c>
      <c r="E67" s="16">
        <v>51</v>
      </c>
      <c r="F67" s="17">
        <v>66</v>
      </c>
      <c r="G67" s="17">
        <v>255</v>
      </c>
    </row>
    <row r="68" spans="4:7" x14ac:dyDescent="0.25">
      <c r="D68" s="54" t="s">
        <v>466</v>
      </c>
      <c r="E68" s="16">
        <v>52</v>
      </c>
      <c r="F68" s="17">
        <v>67</v>
      </c>
      <c r="G68" s="17">
        <v>256</v>
      </c>
    </row>
    <row r="69" spans="4:7" x14ac:dyDescent="0.25">
      <c r="D69" s="56" t="s">
        <v>467</v>
      </c>
      <c r="E69" s="16">
        <v>53</v>
      </c>
      <c r="F69" s="17">
        <v>68</v>
      </c>
      <c r="G69" s="17">
        <v>257</v>
      </c>
    </row>
    <row r="70" spans="4:7" x14ac:dyDescent="0.25">
      <c r="D70" s="56" t="s">
        <v>468</v>
      </c>
      <c r="E70" s="16">
        <v>54</v>
      </c>
      <c r="F70" s="17">
        <v>69</v>
      </c>
      <c r="G70" s="17">
        <v>258</v>
      </c>
    </row>
    <row r="71" spans="4:7" x14ac:dyDescent="0.25">
      <c r="D71" s="56" t="s">
        <v>469</v>
      </c>
      <c r="E71" s="16">
        <v>55</v>
      </c>
      <c r="F71" s="17">
        <v>70</v>
      </c>
      <c r="G71" s="17">
        <v>259</v>
      </c>
    </row>
    <row r="72" spans="4:7" x14ac:dyDescent="0.25">
      <c r="D72" s="56" t="s">
        <v>470</v>
      </c>
      <c r="E72" s="16">
        <v>56</v>
      </c>
      <c r="F72" s="17">
        <v>71</v>
      </c>
      <c r="G72" s="17">
        <v>260</v>
      </c>
    </row>
    <row r="73" spans="4:7" x14ac:dyDescent="0.25">
      <c r="D73" s="56" t="s">
        <v>471</v>
      </c>
      <c r="E73" s="16">
        <v>57</v>
      </c>
      <c r="F73" s="17">
        <v>72</v>
      </c>
      <c r="G73" s="17">
        <v>261</v>
      </c>
    </row>
    <row r="74" spans="4:7" x14ac:dyDescent="0.25">
      <c r="D74" s="56" t="s">
        <v>472</v>
      </c>
      <c r="E74" s="16">
        <v>58</v>
      </c>
      <c r="F74" s="17">
        <v>73</v>
      </c>
      <c r="G74" s="17">
        <v>262</v>
      </c>
    </row>
    <row r="75" spans="4:7" x14ac:dyDescent="0.25">
      <c r="D75" s="56" t="s">
        <v>473</v>
      </c>
      <c r="E75" s="16">
        <v>59</v>
      </c>
      <c r="F75" s="17">
        <v>74</v>
      </c>
      <c r="G75" s="17">
        <v>263</v>
      </c>
    </row>
    <row r="76" spans="4:7" x14ac:dyDescent="0.25">
      <c r="D76" s="56" t="s">
        <v>474</v>
      </c>
      <c r="E76" s="16">
        <v>60</v>
      </c>
      <c r="F76" s="17">
        <v>75</v>
      </c>
      <c r="G76" s="17">
        <v>264</v>
      </c>
    </row>
    <row r="77" spans="4:7" x14ac:dyDescent="0.25">
      <c r="D77" s="56" t="s">
        <v>475</v>
      </c>
      <c r="E77" s="16">
        <v>61</v>
      </c>
      <c r="F77" s="17">
        <v>76</v>
      </c>
      <c r="G77" s="17">
        <v>265</v>
      </c>
    </row>
    <row r="78" spans="4:7" x14ac:dyDescent="0.25">
      <c r="D78" s="56" t="s">
        <v>476</v>
      </c>
      <c r="E78" s="16">
        <v>62</v>
      </c>
      <c r="F78" s="17">
        <v>77</v>
      </c>
      <c r="G78" s="17">
        <v>266</v>
      </c>
    </row>
    <row r="79" spans="4:7" x14ac:dyDescent="0.25">
      <c r="D79" s="56" t="s">
        <v>477</v>
      </c>
      <c r="E79" s="16">
        <v>63</v>
      </c>
      <c r="F79" s="17">
        <v>78</v>
      </c>
      <c r="G79" s="17">
        <v>267</v>
      </c>
    </row>
    <row r="80" spans="4:7" x14ac:dyDescent="0.25">
      <c r="D80" s="56" t="s">
        <v>478</v>
      </c>
      <c r="E80" s="16">
        <v>64</v>
      </c>
      <c r="F80" s="17">
        <v>79</v>
      </c>
      <c r="G80" s="17">
        <v>268</v>
      </c>
    </row>
    <row r="81" spans="4:7" x14ac:dyDescent="0.25">
      <c r="D81" s="61" t="s">
        <v>479</v>
      </c>
      <c r="E81" s="16">
        <v>65</v>
      </c>
      <c r="F81" s="17">
        <v>80</v>
      </c>
      <c r="G81" s="17">
        <v>269</v>
      </c>
    </row>
    <row r="82" spans="4:7" x14ac:dyDescent="0.25">
      <c r="D82" s="61" t="s">
        <v>480</v>
      </c>
      <c r="E82" s="16">
        <v>66</v>
      </c>
      <c r="F82" s="17">
        <v>81</v>
      </c>
      <c r="G82" s="17">
        <v>270</v>
      </c>
    </row>
    <row r="83" spans="4:7" x14ac:dyDescent="0.25">
      <c r="D83" s="62" t="s">
        <v>481</v>
      </c>
      <c r="E83" s="16">
        <v>67</v>
      </c>
      <c r="F83" s="17">
        <v>82</v>
      </c>
      <c r="G83" s="17">
        <v>271</v>
      </c>
    </row>
    <row r="84" spans="4:7" x14ac:dyDescent="0.25">
      <c r="D84" s="56" t="s">
        <v>482</v>
      </c>
      <c r="E84" s="16">
        <v>68</v>
      </c>
      <c r="F84" s="17">
        <v>83</v>
      </c>
      <c r="G84" s="17">
        <v>272</v>
      </c>
    </row>
    <row r="85" spans="4:7" x14ac:dyDescent="0.25">
      <c r="D85" s="59" t="s">
        <v>483</v>
      </c>
      <c r="E85" s="16">
        <v>69</v>
      </c>
      <c r="F85" s="17">
        <v>84</v>
      </c>
      <c r="G85" s="17">
        <v>273</v>
      </c>
    </row>
    <row r="86" spans="4:7" x14ac:dyDescent="0.25">
      <c r="D86" s="56" t="s">
        <v>484</v>
      </c>
      <c r="E86" s="16">
        <v>70</v>
      </c>
      <c r="F86" s="17">
        <v>85</v>
      </c>
      <c r="G86" s="17">
        <v>274</v>
      </c>
    </row>
    <row r="87" spans="4:7" x14ac:dyDescent="0.25">
      <c r="D87" s="56" t="s">
        <v>485</v>
      </c>
      <c r="E87" s="16">
        <v>71</v>
      </c>
      <c r="F87" s="17">
        <v>86</v>
      </c>
      <c r="G87" s="17">
        <v>275</v>
      </c>
    </row>
    <row r="88" spans="4:7" x14ac:dyDescent="0.25">
      <c r="D88" s="56" t="s">
        <v>486</v>
      </c>
      <c r="E88" s="16">
        <v>72</v>
      </c>
      <c r="F88" s="17">
        <v>87</v>
      </c>
      <c r="G88" s="17">
        <v>276</v>
      </c>
    </row>
    <row r="89" spans="4:7" x14ac:dyDescent="0.25">
      <c r="D89" s="56" t="s">
        <v>487</v>
      </c>
      <c r="E89" s="16">
        <v>73</v>
      </c>
      <c r="F89" s="17">
        <v>88</v>
      </c>
      <c r="G89" s="17">
        <v>277</v>
      </c>
    </row>
    <row r="90" spans="4:7" x14ac:dyDescent="0.25">
      <c r="D90" s="56" t="s">
        <v>488</v>
      </c>
      <c r="E90" s="16">
        <v>74</v>
      </c>
      <c r="F90" s="17">
        <v>89</v>
      </c>
      <c r="G90" s="17">
        <v>278</v>
      </c>
    </row>
    <row r="91" spans="4:7" x14ac:dyDescent="0.25">
      <c r="D91" s="56" t="s">
        <v>489</v>
      </c>
      <c r="E91" s="16">
        <v>75</v>
      </c>
      <c r="F91" s="17">
        <v>90</v>
      </c>
      <c r="G91" s="17">
        <v>279</v>
      </c>
    </row>
    <row r="92" spans="4:7" x14ac:dyDescent="0.25">
      <c r="D92" s="56" t="s">
        <v>490</v>
      </c>
      <c r="E92" s="16">
        <v>76</v>
      </c>
      <c r="F92" s="17">
        <v>91</v>
      </c>
      <c r="G92" s="17">
        <v>280</v>
      </c>
    </row>
    <row r="93" spans="4:7" x14ac:dyDescent="0.25">
      <c r="D93" s="56" t="s">
        <v>491</v>
      </c>
      <c r="E93" s="16">
        <v>77</v>
      </c>
      <c r="F93" s="17">
        <v>92</v>
      </c>
      <c r="G93" s="17">
        <v>281</v>
      </c>
    </row>
    <row r="94" spans="4:7" x14ac:dyDescent="0.25">
      <c r="D94" s="56" t="s">
        <v>492</v>
      </c>
      <c r="E94" s="16">
        <v>78</v>
      </c>
      <c r="F94" s="17">
        <v>93</v>
      </c>
      <c r="G94" s="17">
        <v>282</v>
      </c>
    </row>
    <row r="95" spans="4:7" x14ac:dyDescent="0.25">
      <c r="D95" s="56" t="s">
        <v>493</v>
      </c>
      <c r="E95" s="16">
        <v>79</v>
      </c>
      <c r="F95" s="17">
        <v>94</v>
      </c>
      <c r="G95" s="17">
        <v>283</v>
      </c>
    </row>
    <row r="96" spans="4:7" x14ac:dyDescent="0.25">
      <c r="D96" s="56" t="s">
        <v>494</v>
      </c>
      <c r="E96" s="16">
        <v>80</v>
      </c>
      <c r="F96" s="17">
        <v>95</v>
      </c>
      <c r="G96" s="17">
        <v>284</v>
      </c>
    </row>
    <row r="97" spans="4:7" x14ac:dyDescent="0.25">
      <c r="D97" s="55" t="s">
        <v>495</v>
      </c>
      <c r="E97" s="16">
        <v>81</v>
      </c>
      <c r="F97" s="17">
        <v>96</v>
      </c>
      <c r="G97" s="17">
        <v>285</v>
      </c>
    </row>
    <row r="98" spans="4:7" x14ac:dyDescent="0.25">
      <c r="D98" s="54" t="s">
        <v>496</v>
      </c>
      <c r="E98" s="16">
        <v>82</v>
      </c>
      <c r="F98" s="17">
        <v>97</v>
      </c>
      <c r="G98" s="17">
        <v>286</v>
      </c>
    </row>
    <row r="99" spans="4:7" x14ac:dyDescent="0.25">
      <c r="D99" s="56" t="s">
        <v>497</v>
      </c>
      <c r="E99" s="16">
        <v>83</v>
      </c>
      <c r="F99" s="17">
        <v>98</v>
      </c>
      <c r="G99" s="17">
        <v>287</v>
      </c>
    </row>
    <row r="100" spans="4:7" x14ac:dyDescent="0.25">
      <c r="D100" s="56" t="s">
        <v>498</v>
      </c>
      <c r="E100" s="16">
        <v>84</v>
      </c>
      <c r="F100" s="17">
        <v>99</v>
      </c>
      <c r="G100" s="17">
        <v>288</v>
      </c>
    </row>
    <row r="101" spans="4:7" x14ac:dyDescent="0.25">
      <c r="D101" s="56" t="s">
        <v>499</v>
      </c>
      <c r="E101" s="16">
        <v>85</v>
      </c>
      <c r="F101" s="17">
        <v>100</v>
      </c>
      <c r="G101" s="17">
        <v>289</v>
      </c>
    </row>
    <row r="102" spans="4:7" x14ac:dyDescent="0.25">
      <c r="D102" s="56" t="s">
        <v>500</v>
      </c>
      <c r="E102" s="16">
        <v>86</v>
      </c>
      <c r="F102" s="17">
        <v>101</v>
      </c>
      <c r="G102" s="17">
        <v>290</v>
      </c>
    </row>
    <row r="103" spans="4:7" x14ac:dyDescent="0.25">
      <c r="D103" s="56" t="s">
        <v>501</v>
      </c>
      <c r="E103" s="16">
        <v>87</v>
      </c>
      <c r="F103" s="17">
        <v>102</v>
      </c>
      <c r="G103" s="17">
        <v>291</v>
      </c>
    </row>
    <row r="104" spans="4:7" x14ac:dyDescent="0.25">
      <c r="D104" s="56" t="s">
        <v>502</v>
      </c>
      <c r="E104" s="16">
        <v>88</v>
      </c>
      <c r="F104" s="17">
        <v>103</v>
      </c>
      <c r="G104" s="17">
        <v>292</v>
      </c>
    </row>
    <row r="105" spans="4:7" x14ac:dyDescent="0.25">
      <c r="D105" s="56" t="s">
        <v>503</v>
      </c>
      <c r="E105" s="16">
        <v>89</v>
      </c>
      <c r="F105" s="17">
        <v>104</v>
      </c>
      <c r="G105" s="17">
        <v>293</v>
      </c>
    </row>
    <row r="106" spans="4:7" x14ac:dyDescent="0.25">
      <c r="D106" s="56" t="s">
        <v>504</v>
      </c>
      <c r="E106" s="16">
        <v>90</v>
      </c>
      <c r="F106" s="17">
        <v>105</v>
      </c>
      <c r="G106" s="17">
        <v>294</v>
      </c>
    </row>
    <row r="107" spans="4:7" x14ac:dyDescent="0.25">
      <c r="D107" s="56" t="s">
        <v>505</v>
      </c>
      <c r="E107" s="16">
        <v>91</v>
      </c>
      <c r="F107" s="17">
        <v>106</v>
      </c>
      <c r="G107" s="17">
        <v>295</v>
      </c>
    </row>
    <row r="108" spans="4:7" x14ac:dyDescent="0.25">
      <c r="D108" s="55" t="s">
        <v>506</v>
      </c>
      <c r="E108" s="16">
        <v>92</v>
      </c>
      <c r="F108" s="17">
        <v>107</v>
      </c>
      <c r="G108" s="17">
        <v>296</v>
      </c>
    </row>
    <row r="109" spans="4:7" x14ac:dyDescent="0.25">
      <c r="D109" s="58" t="s">
        <v>507</v>
      </c>
      <c r="E109" s="16">
        <v>93</v>
      </c>
      <c r="F109" s="17">
        <v>108</v>
      </c>
      <c r="G109" s="17">
        <v>297</v>
      </c>
    </row>
    <row r="110" spans="4:7" x14ac:dyDescent="0.25">
      <c r="D110" s="57" t="s">
        <v>508</v>
      </c>
      <c r="E110" s="16">
        <v>94</v>
      </c>
      <c r="F110" s="17">
        <v>109</v>
      </c>
      <c r="G110" s="17">
        <v>298</v>
      </c>
    </row>
    <row r="111" spans="4:7" x14ac:dyDescent="0.25">
      <c r="D111" s="59" t="s">
        <v>509</v>
      </c>
      <c r="E111" s="16">
        <v>95</v>
      </c>
      <c r="F111" s="17">
        <v>110</v>
      </c>
      <c r="G111" s="17">
        <v>299</v>
      </c>
    </row>
    <row r="112" spans="4:7" x14ac:dyDescent="0.25">
      <c r="D112" s="63" t="s">
        <v>510</v>
      </c>
      <c r="E112" s="16">
        <v>96</v>
      </c>
      <c r="F112" s="17">
        <v>111</v>
      </c>
      <c r="G112" s="17">
        <v>300</v>
      </c>
    </row>
    <row r="113" spans="4:7" x14ac:dyDescent="0.25">
      <c r="D113" s="61" t="s">
        <v>511</v>
      </c>
      <c r="E113" s="16">
        <v>97</v>
      </c>
      <c r="F113" s="17">
        <v>112</v>
      </c>
      <c r="G113" s="17">
        <v>301</v>
      </c>
    </row>
    <row r="114" spans="4:7" x14ac:dyDescent="0.25">
      <c r="D114" s="63" t="s">
        <v>512</v>
      </c>
      <c r="E114" s="16">
        <v>98</v>
      </c>
      <c r="F114" s="17">
        <v>113</v>
      </c>
      <c r="G114" s="17">
        <v>302</v>
      </c>
    </row>
    <row r="115" spans="4:7" x14ac:dyDescent="0.25">
      <c r="D115" s="63" t="s">
        <v>513</v>
      </c>
      <c r="E115" s="16">
        <v>99</v>
      </c>
      <c r="F115" s="17">
        <v>114</v>
      </c>
      <c r="G115" s="17">
        <v>303</v>
      </c>
    </row>
    <row r="116" spans="4:7" x14ac:dyDescent="0.25">
      <c r="D116" s="61" t="s">
        <v>514</v>
      </c>
      <c r="E116" s="16">
        <v>100</v>
      </c>
      <c r="F116" s="17">
        <v>115</v>
      </c>
      <c r="G116" s="17">
        <v>304</v>
      </c>
    </row>
    <row r="117" spans="4:7" x14ac:dyDescent="0.25">
      <c r="D117" s="63" t="s">
        <v>515</v>
      </c>
      <c r="E117" s="16">
        <v>101</v>
      </c>
      <c r="F117" s="17">
        <v>116</v>
      </c>
      <c r="G117" s="17">
        <v>305</v>
      </c>
    </row>
    <row r="118" spans="4:7" x14ac:dyDescent="0.25">
      <c r="D118" s="59" t="s">
        <v>516</v>
      </c>
      <c r="E118" s="16">
        <v>102</v>
      </c>
      <c r="F118" s="17">
        <v>117</v>
      </c>
      <c r="G118" s="17">
        <v>306</v>
      </c>
    </row>
    <row r="119" spans="4:7" x14ac:dyDescent="0.25">
      <c r="D119" s="56" t="s">
        <v>517</v>
      </c>
      <c r="E119" s="16">
        <v>103</v>
      </c>
      <c r="F119" s="17">
        <v>118</v>
      </c>
      <c r="G119" s="17">
        <v>307</v>
      </c>
    </row>
    <row r="120" spans="4:7" x14ac:dyDescent="0.25">
      <c r="D120" s="56" t="s">
        <v>518</v>
      </c>
      <c r="E120" s="16">
        <v>104</v>
      </c>
      <c r="F120" s="17">
        <v>119</v>
      </c>
      <c r="G120" s="17">
        <v>308</v>
      </c>
    </row>
    <row r="121" spans="4:7" x14ac:dyDescent="0.25">
      <c r="D121" s="56" t="s">
        <v>519</v>
      </c>
      <c r="E121" s="16">
        <v>105</v>
      </c>
      <c r="F121" s="17">
        <v>120</v>
      </c>
      <c r="G121" s="17">
        <v>309</v>
      </c>
    </row>
    <row r="122" spans="4:7" x14ac:dyDescent="0.25">
      <c r="D122" s="56" t="s">
        <v>520</v>
      </c>
      <c r="E122" s="16">
        <v>106</v>
      </c>
      <c r="F122" s="17">
        <v>121</v>
      </c>
      <c r="G122" s="17">
        <v>310</v>
      </c>
    </row>
    <row r="123" spans="4:7" x14ac:dyDescent="0.25">
      <c r="D123" s="59" t="s">
        <v>521</v>
      </c>
      <c r="E123" s="16">
        <v>107</v>
      </c>
      <c r="F123" s="17">
        <v>122</v>
      </c>
      <c r="G123" s="17">
        <v>311</v>
      </c>
    </row>
    <row r="124" spans="4:7" x14ac:dyDescent="0.25">
      <c r="D124" s="56" t="s">
        <v>522</v>
      </c>
      <c r="E124" s="16">
        <v>108</v>
      </c>
      <c r="F124" s="17">
        <v>123</v>
      </c>
      <c r="G124" s="17">
        <v>312</v>
      </c>
    </row>
    <row r="125" spans="4:7" x14ac:dyDescent="0.25">
      <c r="D125" s="56" t="s">
        <v>523</v>
      </c>
      <c r="E125" s="16">
        <v>109</v>
      </c>
      <c r="F125" s="17">
        <v>124</v>
      </c>
      <c r="G125" s="17">
        <v>313</v>
      </c>
    </row>
    <row r="126" spans="4:7" x14ac:dyDescent="0.25">
      <c r="D126" s="59" t="s">
        <v>524</v>
      </c>
      <c r="E126" s="16">
        <v>110</v>
      </c>
      <c r="F126" s="17">
        <v>125</v>
      </c>
      <c r="G126" s="17">
        <v>314</v>
      </c>
    </row>
    <row r="127" spans="4:7" x14ac:dyDescent="0.25">
      <c r="D127" s="59" t="s">
        <v>525</v>
      </c>
      <c r="E127" s="16">
        <v>111</v>
      </c>
      <c r="F127" s="17">
        <v>126</v>
      </c>
      <c r="G127" s="17">
        <v>315</v>
      </c>
    </row>
    <row r="128" spans="4:7" x14ac:dyDescent="0.25">
      <c r="D128" s="59" t="s">
        <v>526</v>
      </c>
      <c r="E128" s="16">
        <v>112</v>
      </c>
      <c r="F128" s="17">
        <v>127</v>
      </c>
      <c r="G128" s="17">
        <v>316</v>
      </c>
    </row>
    <row r="129" spans="4:7" x14ac:dyDescent="0.25">
      <c r="D129" s="59" t="s">
        <v>527</v>
      </c>
      <c r="E129" s="16">
        <v>113</v>
      </c>
      <c r="F129" s="17">
        <v>128</v>
      </c>
      <c r="G129" s="17">
        <v>317</v>
      </c>
    </row>
    <row r="130" spans="4:7" x14ac:dyDescent="0.25">
      <c r="D130" s="59" t="s">
        <v>528</v>
      </c>
      <c r="E130" s="16">
        <v>114</v>
      </c>
      <c r="F130" s="17">
        <v>129</v>
      </c>
      <c r="G130" s="17">
        <v>318</v>
      </c>
    </row>
    <row r="131" spans="4:7" x14ac:dyDescent="0.25">
      <c r="D131" s="56" t="s">
        <v>529</v>
      </c>
      <c r="E131" s="16">
        <v>115</v>
      </c>
      <c r="F131" s="17">
        <v>130</v>
      </c>
      <c r="G131" s="17">
        <v>319</v>
      </c>
    </row>
    <row r="132" spans="4:7" x14ac:dyDescent="0.25">
      <c r="D132" s="56" t="s">
        <v>530</v>
      </c>
      <c r="E132" s="16">
        <v>116</v>
      </c>
      <c r="F132" s="17">
        <v>131</v>
      </c>
      <c r="G132" s="17">
        <v>320</v>
      </c>
    </row>
    <row r="133" spans="4:7" x14ac:dyDescent="0.25">
      <c r="D133" s="55" t="s">
        <v>531</v>
      </c>
      <c r="E133" s="16">
        <v>117</v>
      </c>
      <c r="F133" s="17">
        <v>132</v>
      </c>
      <c r="G133" s="17">
        <v>321</v>
      </c>
    </row>
    <row r="134" spans="4:7" x14ac:dyDescent="0.25">
      <c r="D134" s="55" t="s">
        <v>532</v>
      </c>
      <c r="E134" s="16">
        <v>118</v>
      </c>
      <c r="F134" s="17">
        <v>133</v>
      </c>
      <c r="G134" s="17">
        <v>322</v>
      </c>
    </row>
    <row r="135" spans="4:7" x14ac:dyDescent="0.25">
      <c r="D135" s="58" t="s">
        <v>533</v>
      </c>
      <c r="E135" s="16">
        <v>119</v>
      </c>
      <c r="F135" s="17">
        <v>134</v>
      </c>
      <c r="G135" s="17">
        <v>323</v>
      </c>
    </row>
    <row r="136" spans="4:7" x14ac:dyDescent="0.25">
      <c r="D136" s="60" t="s">
        <v>534</v>
      </c>
      <c r="E136" s="16">
        <v>120</v>
      </c>
      <c r="F136" s="17">
        <v>135</v>
      </c>
      <c r="G136" s="17">
        <v>324</v>
      </c>
    </row>
    <row r="137" spans="4:7" x14ac:dyDescent="0.25">
      <c r="D137" s="54" t="s">
        <v>535</v>
      </c>
      <c r="E137" s="16">
        <v>121</v>
      </c>
      <c r="F137" s="17">
        <v>136</v>
      </c>
      <c r="G137" s="17">
        <v>325</v>
      </c>
    </row>
  </sheetData>
  <mergeCells count="6">
    <mergeCell ref="B7:C7"/>
    <mergeCell ref="F2:G2"/>
    <mergeCell ref="D3:E3"/>
    <mergeCell ref="D4:E4"/>
    <mergeCell ref="D5:E5"/>
    <mergeCell ref="D6:E6"/>
  </mergeCells>
  <phoneticPr fontId="2" type="noConversion"/>
  <conditionalFormatting sqref="G86">
    <cfRule type="expression" dxfId="7" priority="2">
      <formula>$G$86=$G$86</formula>
    </cfRule>
    <cfRule type="expression" dxfId="6" priority="1">
      <formula>$G$86&lt;&gt;$G$86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sisView">
                <anchor moveWithCells="1" sizeWithCells="1">
                  <from>
                    <xdr:col>3</xdr:col>
                    <xdr:colOff>617220</xdr:colOff>
                    <xdr:row>0</xdr:row>
                    <xdr:rowOff>45720</xdr:rowOff>
                  </from>
                  <to>
                    <xdr:col>3</xdr:col>
                    <xdr:colOff>1676400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exitView">
                <anchor>
                  <from>
                    <xdr:col>5</xdr:col>
                    <xdr:colOff>160020</xdr:colOff>
                    <xdr:row>0</xdr:row>
                    <xdr:rowOff>45720</xdr:rowOff>
                  </from>
                  <to>
                    <xdr:col>5</xdr:col>
                    <xdr:colOff>998220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G137"/>
  <sheetViews>
    <sheetView workbookViewId="0">
      <selection activeCell="G8" sqref="G8"/>
    </sheetView>
  </sheetViews>
  <sheetFormatPr defaultColWidth="27.88671875" defaultRowHeight="13.8" x14ac:dyDescent="0.25"/>
  <cols>
    <col min="1" max="1" width="1.6640625" style="1" customWidth="1"/>
    <col min="2" max="2" width="79" style="1" hidden="1" customWidth="1"/>
    <col min="3" max="3" width="9.6640625" style="1" hidden="1" customWidth="1"/>
    <col min="4" max="4" width="96.109375" style="1" bestFit="1" customWidth="1"/>
    <col min="5" max="5" width="4.44140625" style="1" bestFit="1" customWidth="1"/>
    <col min="6" max="7" width="17.6640625" style="1" customWidth="1"/>
    <col min="8" max="8" width="16.33203125" style="1" customWidth="1"/>
    <col min="9" max="9" width="5.44140625" style="1" customWidth="1"/>
    <col min="10" max="16384" width="27.88671875" style="1"/>
  </cols>
  <sheetData>
    <row r="2" spans="2:7" ht="23.4" x14ac:dyDescent="0.25">
      <c r="B2" s="2" t="s">
        <v>152</v>
      </c>
      <c r="F2" s="48" t="s">
        <v>1</v>
      </c>
      <c r="G2" s="48"/>
    </row>
    <row r="3" spans="2:7" x14ac:dyDescent="0.25">
      <c r="B3" s="3"/>
      <c r="D3" s="49" t="s">
        <v>153</v>
      </c>
      <c r="E3" s="49"/>
      <c r="F3" s="4" t="e">
        <f ca="1">_xll.EPMContextMember(,"TIME",,1)</f>
        <v>#NAME?</v>
      </c>
    </row>
    <row r="4" spans="2:7" x14ac:dyDescent="0.25">
      <c r="B4" s="3"/>
      <c r="D4" s="50" t="s">
        <v>154</v>
      </c>
      <c r="E4" s="50"/>
      <c r="F4" s="5" t="e">
        <f ca="1">_xll.EPMContextMember(,"SCOPE",,1)</f>
        <v>#NAME?</v>
      </c>
    </row>
    <row r="5" spans="2:7" x14ac:dyDescent="0.25">
      <c r="B5" s="3"/>
      <c r="D5" s="50" t="s">
        <v>155</v>
      </c>
      <c r="E5" s="50"/>
      <c r="F5" s="5" t="e">
        <f ca="1">_xll.EPMContextMember(,"ENTITY",C22,TRUE)</f>
        <v>#NAME?</v>
      </c>
    </row>
    <row r="6" spans="2:7" x14ac:dyDescent="0.25">
      <c r="B6" s="6"/>
      <c r="D6" s="50" t="s">
        <v>156</v>
      </c>
      <c r="E6" s="50"/>
      <c r="F6" s="5" t="e">
        <f ca="1">_xll.EPMContextMember(,"AUDITID",B22,TRUE)</f>
        <v>#NAME?</v>
      </c>
    </row>
    <row r="7" spans="2:7" ht="18.75" customHeight="1" x14ac:dyDescent="0.25">
      <c r="B7" s="46" t="s">
        <v>157</v>
      </c>
      <c r="C7" s="47"/>
      <c r="D7" s="7"/>
      <c r="E7" s="7"/>
      <c r="F7" s="8"/>
    </row>
    <row r="8" spans="2:7" x14ac:dyDescent="0.25">
      <c r="B8" s="9"/>
      <c r="C8" s="10"/>
      <c r="D8" s="11" t="s">
        <v>158</v>
      </c>
      <c r="E8" s="11" t="s">
        <v>159</v>
      </c>
      <c r="F8" s="12" t="s">
        <v>160</v>
      </c>
      <c r="G8" s="12" t="s">
        <v>161</v>
      </c>
    </row>
    <row r="9" spans="2:7" ht="21" hidden="1" customHeight="1" x14ac:dyDescent="0.25">
      <c r="B9" s="9"/>
      <c r="C9" s="10"/>
    </row>
    <row r="10" spans="2:7" ht="21" hidden="1" customHeight="1" x14ac:dyDescent="0.25">
      <c r="B10" s="3" t="s">
        <v>162</v>
      </c>
      <c r="C10" s="3"/>
    </row>
    <row r="11" spans="2:7" ht="21" hidden="1" customHeight="1" x14ac:dyDescent="0.25">
      <c r="B11" s="3" t="s">
        <v>163</v>
      </c>
      <c r="C11" s="3"/>
      <c r="F11" s="13" t="e">
        <f ca="1" xml:space="preserve"> _xll.EPMOlapMemberO("[TIME].[PARENTH1].[2019.04]","","2019.04 - 2019年4月","","000")</f>
        <v>#NAME?</v>
      </c>
      <c r="G11" s="13" t="e">
        <f ca="1" xml:space="preserve"> _xll.EPMOlapMemberO("[TIME].[PARENTH1].[2019.04]","","2019.04 - 2019年4月","","000")</f>
        <v>#NAME?</v>
      </c>
    </row>
    <row r="12" spans="2:7" ht="14.25" hidden="1" customHeight="1" x14ac:dyDescent="0.25">
      <c r="B12" s="3" t="s">
        <v>164</v>
      </c>
      <c r="C12" s="3"/>
      <c r="D12" s="14" t="s">
        <v>165</v>
      </c>
      <c r="E12" s="14" t="s">
        <v>159</v>
      </c>
      <c r="F12" s="13" t="e">
        <f ca="1" xml:space="preserve"> _xll.EPMOlapMemberO("[FLOW].[PARENTH1].[F01]","","F01 - 期初","","000")</f>
        <v>#NAME?</v>
      </c>
      <c r="G12" s="13" t="e">
        <f ca="1" xml:space="preserve"> _xll.EPMOlapMemberO("[FLOW].[PARENTH1].[F99]","","期末数","","000")</f>
        <v>#NAME?</v>
      </c>
    </row>
    <row r="13" spans="2:7" x14ac:dyDescent="0.25">
      <c r="B13" s="3" t="s">
        <v>166</v>
      </c>
      <c r="C13" s="3" t="e">
        <f ca="1">_xll.EPMContextMember(,"SCOPE",,FALSE)</f>
        <v>#NAME?</v>
      </c>
      <c r="D13" s="15" t="s">
        <v>411</v>
      </c>
      <c r="E13" s="16">
        <v>1</v>
      </c>
      <c r="F13" s="17" t="s">
        <v>167</v>
      </c>
      <c r="G13" s="17" t="s">
        <v>168</v>
      </c>
    </row>
    <row r="14" spans="2:7" x14ac:dyDescent="0.25">
      <c r="B14" s="3" t="str">
        <f>B10&amp;";"&amp;B11&amp;";"&amp;B12&amp;";"&amp;B13</f>
        <v>ID=LC_GRP;ID=LC_STD;ID=LC_ADT;ID=INPUT_GL</v>
      </c>
      <c r="C14" s="3" t="e">
        <f ca="1">"ID="&amp;C15</f>
        <v>#NAME?</v>
      </c>
      <c r="D14" s="18" t="s">
        <v>412</v>
      </c>
      <c r="E14" s="16">
        <v>2</v>
      </c>
      <c r="F14" s="17" t="s">
        <v>169</v>
      </c>
      <c r="G14" s="19" t="s">
        <v>170</v>
      </c>
    </row>
    <row r="15" spans="2:7" x14ac:dyDescent="0.25">
      <c r="B15" s="3" t="s">
        <v>171</v>
      </c>
      <c r="C15" s="1" t="e">
        <f ca="1">RIGHT(C13,5)</f>
        <v>#NAME?</v>
      </c>
      <c r="D15" s="18" t="s">
        <v>413</v>
      </c>
      <c r="E15" s="16">
        <v>3</v>
      </c>
      <c r="F15" s="17" t="s">
        <v>172</v>
      </c>
      <c r="G15" s="19" t="s">
        <v>173</v>
      </c>
    </row>
    <row r="16" spans="2:7" x14ac:dyDescent="0.25">
      <c r="B16" s="3" t="s">
        <v>16</v>
      </c>
      <c r="D16" s="18" t="s">
        <v>414</v>
      </c>
      <c r="E16" s="16">
        <v>4</v>
      </c>
      <c r="F16" s="17" t="s">
        <v>174</v>
      </c>
      <c r="G16" s="19" t="s">
        <v>175</v>
      </c>
    </row>
    <row r="17" spans="2:7" x14ac:dyDescent="0.25">
      <c r="B17" s="3" t="s">
        <v>176</v>
      </c>
      <c r="D17" s="18" t="s">
        <v>415</v>
      </c>
      <c r="E17" s="16">
        <v>5</v>
      </c>
      <c r="F17" s="17" t="s">
        <v>177</v>
      </c>
      <c r="G17" s="19" t="s">
        <v>178</v>
      </c>
    </row>
    <row r="18" spans="2:7" x14ac:dyDescent="0.25">
      <c r="B18" s="3" t="s">
        <v>18</v>
      </c>
      <c r="D18" s="18" t="s">
        <v>416</v>
      </c>
      <c r="E18" s="16">
        <v>6</v>
      </c>
      <c r="F18" s="17" t="s">
        <v>179</v>
      </c>
      <c r="G18" s="19" t="s">
        <v>180</v>
      </c>
    </row>
    <row r="19" spans="2:7" x14ac:dyDescent="0.25">
      <c r="B19" s="3" t="s">
        <v>151</v>
      </c>
      <c r="D19" s="18" t="s">
        <v>417</v>
      </c>
      <c r="E19" s="16">
        <v>7</v>
      </c>
      <c r="F19" s="17" t="s">
        <v>181</v>
      </c>
      <c r="G19" s="19" t="s">
        <v>182</v>
      </c>
    </row>
    <row r="20" spans="2:7" x14ac:dyDescent="0.25">
      <c r="B20" s="3" t="s">
        <v>183</v>
      </c>
      <c r="D20" s="18" t="s">
        <v>418</v>
      </c>
      <c r="E20" s="16">
        <v>8</v>
      </c>
      <c r="F20" s="17" t="s">
        <v>184</v>
      </c>
      <c r="G20" s="19" t="s">
        <v>185</v>
      </c>
    </row>
    <row r="21" spans="2:7" x14ac:dyDescent="0.25">
      <c r="B21" s="3" t="str">
        <f>B15&amp;";"&amp;B16&amp;";"&amp;B17&amp;";"&amp;B18&amp;";"&amp;B19&amp;";"&amp;B20</f>
        <v>ID=L_CON;ID=P_CON;ID=G_CON;ID=R_L_CON_DFL;ID=R_P_CON_DFL;ID=R_G_CON_DFL</v>
      </c>
      <c r="D21" s="18" t="s">
        <v>419</v>
      </c>
      <c r="E21" s="16">
        <v>9</v>
      </c>
      <c r="F21" s="17" t="s">
        <v>186</v>
      </c>
      <c r="G21" s="19" t="s">
        <v>187</v>
      </c>
    </row>
    <row r="22" spans="2:7" ht="14.4" x14ac:dyDescent="0.25">
      <c r="B22" s="3" t="e">
        <f ca="1">IF(C13="S_NONE",B14,B21)</f>
        <v>#NAME?</v>
      </c>
      <c r="C22" s="20" t="e">
        <f ca="1">IF(C13&lt;&gt;"S_NONE",C14,"")</f>
        <v>#NAME?</v>
      </c>
      <c r="D22" s="18" t="s">
        <v>420</v>
      </c>
      <c r="E22" s="16">
        <v>10</v>
      </c>
      <c r="F22" s="17" t="s">
        <v>188</v>
      </c>
      <c r="G22" s="19" t="s">
        <v>189</v>
      </c>
    </row>
    <row r="23" spans="2:7" x14ac:dyDescent="0.25">
      <c r="B23" s="3"/>
      <c r="D23" s="18" t="s">
        <v>421</v>
      </c>
      <c r="E23" s="16">
        <v>11</v>
      </c>
      <c r="F23" s="17" t="s">
        <v>190</v>
      </c>
      <c r="G23" s="19" t="s">
        <v>191</v>
      </c>
    </row>
    <row r="24" spans="2:7" x14ac:dyDescent="0.25">
      <c r="D24" s="18" t="s">
        <v>422</v>
      </c>
      <c r="E24" s="16">
        <v>12</v>
      </c>
      <c r="F24" s="17" t="s">
        <v>192</v>
      </c>
      <c r="G24" s="19" t="s">
        <v>193</v>
      </c>
    </row>
    <row r="25" spans="2:7" x14ac:dyDescent="0.25">
      <c r="C25" s="3"/>
      <c r="D25" s="18" t="s">
        <v>423</v>
      </c>
      <c r="E25" s="16">
        <v>13</v>
      </c>
      <c r="F25" s="17" t="s">
        <v>194</v>
      </c>
      <c r="G25" s="19" t="s">
        <v>195</v>
      </c>
    </row>
    <row r="26" spans="2:7" x14ac:dyDescent="0.25">
      <c r="D26" s="18" t="s">
        <v>424</v>
      </c>
      <c r="E26" s="16">
        <v>14</v>
      </c>
      <c r="F26" s="17" t="s">
        <v>196</v>
      </c>
      <c r="G26" s="19" t="s">
        <v>197</v>
      </c>
    </row>
    <row r="27" spans="2:7" x14ac:dyDescent="0.25">
      <c r="D27" s="18" t="s">
        <v>425</v>
      </c>
      <c r="E27" s="16">
        <v>15</v>
      </c>
      <c r="F27" s="17" t="s">
        <v>198</v>
      </c>
      <c r="G27" s="19" t="s">
        <v>199</v>
      </c>
    </row>
    <row r="28" spans="2:7" ht="14.4" x14ac:dyDescent="0.25">
      <c r="C28" s="21"/>
      <c r="D28" s="18" t="s">
        <v>426</v>
      </c>
      <c r="E28" s="16">
        <v>16</v>
      </c>
      <c r="F28" s="17" t="s">
        <v>200</v>
      </c>
      <c r="G28" s="19" t="s">
        <v>201</v>
      </c>
    </row>
    <row r="29" spans="2:7" x14ac:dyDescent="0.25">
      <c r="D29" s="22" t="s">
        <v>427</v>
      </c>
      <c r="E29" s="16">
        <v>17</v>
      </c>
      <c r="F29" s="17" t="s">
        <v>202</v>
      </c>
      <c r="G29" s="19" t="s">
        <v>203</v>
      </c>
    </row>
    <row r="30" spans="2:7" x14ac:dyDescent="0.25">
      <c r="D30" s="23" t="s">
        <v>428</v>
      </c>
      <c r="E30" s="16">
        <v>18</v>
      </c>
      <c r="F30" s="17" t="s">
        <v>204</v>
      </c>
      <c r="G30" s="19" t="s">
        <v>205</v>
      </c>
    </row>
    <row r="31" spans="2:7" hidden="1" x14ac:dyDescent="0.25">
      <c r="D31" s="22" t="s">
        <v>429</v>
      </c>
      <c r="E31" s="16"/>
      <c r="F31" s="17">
        <v>0</v>
      </c>
      <c r="G31" s="19"/>
    </row>
    <row r="32" spans="2:7" hidden="1" x14ac:dyDescent="0.25">
      <c r="D32" s="22" t="s">
        <v>430</v>
      </c>
      <c r="E32" s="16"/>
      <c r="F32" s="17">
        <v>0</v>
      </c>
      <c r="G32" s="19"/>
    </row>
    <row r="33" spans="4:7" hidden="1" x14ac:dyDescent="0.25">
      <c r="D33" s="22" t="s">
        <v>431</v>
      </c>
      <c r="E33" s="16"/>
      <c r="F33" s="17">
        <v>0</v>
      </c>
      <c r="G33" s="19"/>
    </row>
    <row r="34" spans="4:7" hidden="1" x14ac:dyDescent="0.25">
      <c r="D34" s="22" t="s">
        <v>432</v>
      </c>
      <c r="E34" s="16"/>
      <c r="F34" s="17">
        <v>0</v>
      </c>
      <c r="G34" s="19"/>
    </row>
    <row r="35" spans="4:7" x14ac:dyDescent="0.25">
      <c r="D35" s="18" t="s">
        <v>433</v>
      </c>
      <c r="E35" s="16">
        <v>19</v>
      </c>
      <c r="F35" s="17" t="s">
        <v>206</v>
      </c>
      <c r="G35" s="19" t="s">
        <v>207</v>
      </c>
    </row>
    <row r="36" spans="4:7" x14ac:dyDescent="0.25">
      <c r="D36" s="18" t="s">
        <v>434</v>
      </c>
      <c r="E36" s="16">
        <v>20</v>
      </c>
      <c r="F36" s="17" t="s">
        <v>208</v>
      </c>
      <c r="G36" s="19" t="s">
        <v>209</v>
      </c>
    </row>
    <row r="37" spans="4:7" x14ac:dyDescent="0.25">
      <c r="D37" s="18" t="s">
        <v>435</v>
      </c>
      <c r="E37" s="16">
        <v>21</v>
      </c>
      <c r="F37" s="17" t="s">
        <v>210</v>
      </c>
      <c r="G37" s="19" t="s">
        <v>211</v>
      </c>
    </row>
    <row r="38" spans="4:7" x14ac:dyDescent="0.25">
      <c r="D38" s="18" t="s">
        <v>436</v>
      </c>
      <c r="E38" s="16">
        <v>22</v>
      </c>
      <c r="F38" s="17" t="s">
        <v>212</v>
      </c>
      <c r="G38" s="19" t="s">
        <v>213</v>
      </c>
    </row>
    <row r="39" spans="4:7" x14ac:dyDescent="0.25">
      <c r="D39" s="18" t="s">
        <v>437</v>
      </c>
      <c r="E39" s="16">
        <v>23</v>
      </c>
      <c r="F39" s="17" t="s">
        <v>214</v>
      </c>
      <c r="G39" s="19" t="s">
        <v>215</v>
      </c>
    </row>
    <row r="40" spans="4:7" x14ac:dyDescent="0.25">
      <c r="D40" s="18" t="s">
        <v>438</v>
      </c>
      <c r="E40" s="16">
        <v>24</v>
      </c>
      <c r="F40" s="17" t="s">
        <v>216</v>
      </c>
      <c r="G40" s="19" t="s">
        <v>217</v>
      </c>
    </row>
    <row r="41" spans="4:7" x14ac:dyDescent="0.25">
      <c r="D41" s="25" t="s">
        <v>439</v>
      </c>
      <c r="E41" s="16">
        <v>25</v>
      </c>
      <c r="F41" s="17" t="s">
        <v>218</v>
      </c>
      <c r="G41" s="26" t="s">
        <v>219</v>
      </c>
    </row>
    <row r="42" spans="4:7" x14ac:dyDescent="0.25">
      <c r="D42" s="15" t="s">
        <v>440</v>
      </c>
      <c r="E42" s="16">
        <v>26</v>
      </c>
      <c r="F42" s="17" t="s">
        <v>220</v>
      </c>
      <c r="G42" s="17" t="s">
        <v>221</v>
      </c>
    </row>
    <row r="43" spans="4:7" x14ac:dyDescent="0.25">
      <c r="D43" s="18" t="s">
        <v>441</v>
      </c>
      <c r="E43" s="16">
        <v>27</v>
      </c>
      <c r="F43" s="17" t="s">
        <v>222</v>
      </c>
      <c r="G43" s="19" t="s">
        <v>223</v>
      </c>
    </row>
    <row r="44" spans="4:7" x14ac:dyDescent="0.25">
      <c r="D44" s="18" t="s">
        <v>442</v>
      </c>
      <c r="E44" s="16">
        <v>28</v>
      </c>
      <c r="F44" s="17" t="s">
        <v>224</v>
      </c>
      <c r="G44" s="19" t="s">
        <v>225</v>
      </c>
    </row>
    <row r="45" spans="4:7" x14ac:dyDescent="0.25">
      <c r="D45" s="18" t="s">
        <v>443</v>
      </c>
      <c r="E45" s="16">
        <v>29</v>
      </c>
      <c r="F45" s="17" t="s">
        <v>226</v>
      </c>
      <c r="G45" s="19" t="s">
        <v>227</v>
      </c>
    </row>
    <row r="46" spans="4:7" x14ac:dyDescent="0.25">
      <c r="D46" s="18" t="s">
        <v>444</v>
      </c>
      <c r="E46" s="16">
        <v>30</v>
      </c>
      <c r="F46" s="17" t="s">
        <v>228</v>
      </c>
      <c r="G46" s="19" t="s">
        <v>229</v>
      </c>
    </row>
    <row r="47" spans="4:7" x14ac:dyDescent="0.25">
      <c r="D47" s="18" t="s">
        <v>445</v>
      </c>
      <c r="E47" s="16">
        <v>31</v>
      </c>
      <c r="F47" s="17" t="s">
        <v>230</v>
      </c>
      <c r="G47" s="19" t="s">
        <v>231</v>
      </c>
    </row>
    <row r="48" spans="4:7" x14ac:dyDescent="0.25">
      <c r="D48" s="22" t="s">
        <v>446</v>
      </c>
      <c r="E48" s="16">
        <v>32</v>
      </c>
      <c r="F48" s="17" t="s">
        <v>232</v>
      </c>
      <c r="G48" s="19" t="s">
        <v>233</v>
      </c>
    </row>
    <row r="49" spans="4:7" x14ac:dyDescent="0.25">
      <c r="D49" s="18" t="s">
        <v>447</v>
      </c>
      <c r="E49" s="16">
        <v>33</v>
      </c>
      <c r="F49" s="17" t="s">
        <v>234</v>
      </c>
      <c r="G49" s="19" t="s">
        <v>235</v>
      </c>
    </row>
    <row r="50" spans="4:7" x14ac:dyDescent="0.25">
      <c r="D50" s="24" t="s">
        <v>448</v>
      </c>
      <c r="E50" s="16">
        <v>34</v>
      </c>
      <c r="F50" s="17" t="s">
        <v>236</v>
      </c>
      <c r="G50" s="19" t="s">
        <v>237</v>
      </c>
    </row>
    <row r="51" spans="4:7" x14ac:dyDescent="0.25">
      <c r="D51" s="24" t="s">
        <v>449</v>
      </c>
      <c r="E51" s="16">
        <v>35</v>
      </c>
      <c r="F51" s="17" t="s">
        <v>238</v>
      </c>
      <c r="G51" s="19" t="s">
        <v>239</v>
      </c>
    </row>
    <row r="52" spans="4:7" x14ac:dyDescent="0.25">
      <c r="D52" s="22" t="s">
        <v>450</v>
      </c>
      <c r="E52" s="16">
        <v>36</v>
      </c>
      <c r="F52" s="17" t="s">
        <v>240</v>
      </c>
      <c r="G52" s="19" t="s">
        <v>241</v>
      </c>
    </row>
    <row r="53" spans="4:7" x14ac:dyDescent="0.25">
      <c r="D53" s="22" t="s">
        <v>451</v>
      </c>
      <c r="E53" s="16">
        <v>37</v>
      </c>
      <c r="F53" s="17" t="s">
        <v>242</v>
      </c>
      <c r="G53" s="19" t="s">
        <v>243</v>
      </c>
    </row>
    <row r="54" spans="4:7" x14ac:dyDescent="0.25">
      <c r="D54" s="18" t="s">
        <v>452</v>
      </c>
      <c r="E54" s="16">
        <v>38</v>
      </c>
      <c r="F54" s="17" t="s">
        <v>244</v>
      </c>
      <c r="G54" s="19" t="s">
        <v>245</v>
      </c>
    </row>
    <row r="55" spans="4:7" x14ac:dyDescent="0.25">
      <c r="D55" s="18" t="s">
        <v>453</v>
      </c>
      <c r="E55" s="16">
        <v>39</v>
      </c>
      <c r="F55" s="17" t="s">
        <v>246</v>
      </c>
      <c r="G55" s="19" t="s">
        <v>247</v>
      </c>
    </row>
    <row r="56" spans="4:7" x14ac:dyDescent="0.25">
      <c r="D56" s="18" t="s">
        <v>454</v>
      </c>
      <c r="E56" s="16">
        <v>40</v>
      </c>
      <c r="F56" s="17" t="s">
        <v>248</v>
      </c>
      <c r="G56" s="19" t="s">
        <v>249</v>
      </c>
    </row>
    <row r="57" spans="4:7" x14ac:dyDescent="0.25">
      <c r="D57" s="18" t="s">
        <v>455</v>
      </c>
      <c r="E57" s="16">
        <v>41</v>
      </c>
      <c r="F57" s="17" t="s">
        <v>250</v>
      </c>
      <c r="G57" s="19" t="s">
        <v>251</v>
      </c>
    </row>
    <row r="58" spans="4:7" x14ac:dyDescent="0.25">
      <c r="D58" s="18" t="s">
        <v>456</v>
      </c>
      <c r="E58" s="16">
        <v>42</v>
      </c>
      <c r="F58" s="17" t="s">
        <v>252</v>
      </c>
      <c r="G58" s="19" t="s">
        <v>253</v>
      </c>
    </row>
    <row r="59" spans="4:7" x14ac:dyDescent="0.25">
      <c r="D59" s="18" t="s">
        <v>457</v>
      </c>
      <c r="E59" s="16">
        <v>43</v>
      </c>
      <c r="F59" s="17" t="s">
        <v>254</v>
      </c>
      <c r="G59" s="19" t="s">
        <v>255</v>
      </c>
    </row>
    <row r="60" spans="4:7" x14ac:dyDescent="0.25">
      <c r="D60" s="18" t="s">
        <v>458</v>
      </c>
      <c r="E60" s="16">
        <v>44</v>
      </c>
      <c r="F60" s="17" t="s">
        <v>256</v>
      </c>
      <c r="G60" s="19" t="s">
        <v>257</v>
      </c>
    </row>
    <row r="61" spans="4:7" x14ac:dyDescent="0.25">
      <c r="D61" s="18" t="s">
        <v>459</v>
      </c>
      <c r="E61" s="16">
        <v>45</v>
      </c>
      <c r="F61" s="17" t="s">
        <v>258</v>
      </c>
      <c r="G61" s="19" t="s">
        <v>259</v>
      </c>
    </row>
    <row r="62" spans="4:7" x14ac:dyDescent="0.25">
      <c r="D62" s="18" t="s">
        <v>460</v>
      </c>
      <c r="E62" s="16">
        <v>46</v>
      </c>
      <c r="F62" s="17" t="s">
        <v>260</v>
      </c>
      <c r="G62" s="19" t="s">
        <v>261</v>
      </c>
    </row>
    <row r="63" spans="4:7" x14ac:dyDescent="0.25">
      <c r="D63" s="18" t="s">
        <v>461</v>
      </c>
      <c r="E63" s="16">
        <v>47</v>
      </c>
      <c r="F63" s="17" t="s">
        <v>262</v>
      </c>
      <c r="G63" s="19" t="s">
        <v>263</v>
      </c>
    </row>
    <row r="64" spans="4:7" x14ac:dyDescent="0.25">
      <c r="D64" s="18" t="s">
        <v>462</v>
      </c>
      <c r="E64" s="16">
        <v>48</v>
      </c>
      <c r="F64" s="17" t="s">
        <v>264</v>
      </c>
      <c r="G64" s="19" t="s">
        <v>265</v>
      </c>
    </row>
    <row r="65" spans="4:7" x14ac:dyDescent="0.25">
      <c r="D65" s="18" t="s">
        <v>463</v>
      </c>
      <c r="E65" s="16">
        <v>49</v>
      </c>
      <c r="F65" s="17" t="s">
        <v>266</v>
      </c>
      <c r="G65" s="19" t="s">
        <v>267</v>
      </c>
    </row>
    <row r="66" spans="4:7" x14ac:dyDescent="0.25">
      <c r="D66" s="25" t="s">
        <v>464</v>
      </c>
      <c r="E66" s="16">
        <v>50</v>
      </c>
      <c r="F66" s="17" t="s">
        <v>268</v>
      </c>
      <c r="G66" s="26" t="s">
        <v>269</v>
      </c>
    </row>
    <row r="67" spans="4:7" x14ac:dyDescent="0.25">
      <c r="D67" s="27" t="s">
        <v>465</v>
      </c>
      <c r="E67" s="16">
        <v>51</v>
      </c>
      <c r="F67" s="17" t="s">
        <v>270</v>
      </c>
      <c r="G67" s="26" t="s">
        <v>271</v>
      </c>
    </row>
    <row r="68" spans="4:7" x14ac:dyDescent="0.25">
      <c r="D68" s="15" t="s">
        <v>466</v>
      </c>
      <c r="E68" s="16">
        <v>52</v>
      </c>
      <c r="F68" s="17" t="s">
        <v>272</v>
      </c>
      <c r="G68" s="17" t="s">
        <v>273</v>
      </c>
    </row>
    <row r="69" spans="4:7" x14ac:dyDescent="0.25">
      <c r="D69" s="22" t="s">
        <v>467</v>
      </c>
      <c r="E69" s="16">
        <v>53</v>
      </c>
      <c r="F69" s="17" t="s">
        <v>274</v>
      </c>
      <c r="G69" s="19" t="s">
        <v>275</v>
      </c>
    </row>
    <row r="70" spans="4:7" x14ac:dyDescent="0.25">
      <c r="D70" s="22" t="s">
        <v>468</v>
      </c>
      <c r="E70" s="16">
        <v>54</v>
      </c>
      <c r="F70" s="17" t="s">
        <v>276</v>
      </c>
      <c r="G70" s="19" t="s">
        <v>277</v>
      </c>
    </row>
    <row r="71" spans="4:7" x14ac:dyDescent="0.25">
      <c r="D71" s="22" t="s">
        <v>469</v>
      </c>
      <c r="E71" s="16">
        <v>55</v>
      </c>
      <c r="F71" s="17" t="s">
        <v>278</v>
      </c>
      <c r="G71" s="19" t="s">
        <v>279</v>
      </c>
    </row>
    <row r="72" spans="4:7" x14ac:dyDescent="0.25">
      <c r="D72" s="22" t="s">
        <v>470</v>
      </c>
      <c r="E72" s="16">
        <v>56</v>
      </c>
      <c r="F72" s="17" t="s">
        <v>280</v>
      </c>
      <c r="G72" s="19" t="s">
        <v>281</v>
      </c>
    </row>
    <row r="73" spans="4:7" x14ac:dyDescent="0.25">
      <c r="D73" s="22" t="s">
        <v>471</v>
      </c>
      <c r="E73" s="16">
        <v>57</v>
      </c>
      <c r="F73" s="17" t="s">
        <v>282</v>
      </c>
      <c r="G73" s="19" t="s">
        <v>283</v>
      </c>
    </row>
    <row r="74" spans="4:7" x14ac:dyDescent="0.25">
      <c r="D74" s="22" t="s">
        <v>472</v>
      </c>
      <c r="E74" s="16">
        <v>58</v>
      </c>
      <c r="F74" s="17" t="s">
        <v>284</v>
      </c>
      <c r="G74" s="19" t="s">
        <v>285</v>
      </c>
    </row>
    <row r="75" spans="4:7" x14ac:dyDescent="0.25">
      <c r="D75" s="22" t="s">
        <v>473</v>
      </c>
      <c r="E75" s="16">
        <v>59</v>
      </c>
      <c r="F75" s="17" t="s">
        <v>286</v>
      </c>
      <c r="G75" s="19" t="s">
        <v>287</v>
      </c>
    </row>
    <row r="76" spans="4:7" x14ac:dyDescent="0.25">
      <c r="D76" s="22" t="s">
        <v>474</v>
      </c>
      <c r="E76" s="16">
        <v>60</v>
      </c>
      <c r="F76" s="17" t="s">
        <v>288</v>
      </c>
      <c r="G76" s="19" t="s">
        <v>289</v>
      </c>
    </row>
    <row r="77" spans="4:7" x14ac:dyDescent="0.25">
      <c r="D77" s="22" t="s">
        <v>475</v>
      </c>
      <c r="E77" s="16">
        <v>61</v>
      </c>
      <c r="F77" s="17" t="s">
        <v>290</v>
      </c>
      <c r="G77" s="19" t="s">
        <v>291</v>
      </c>
    </row>
    <row r="78" spans="4:7" x14ac:dyDescent="0.25">
      <c r="D78" s="22" t="s">
        <v>476</v>
      </c>
      <c r="E78" s="16">
        <v>62</v>
      </c>
      <c r="F78" s="17" t="s">
        <v>292</v>
      </c>
      <c r="G78" s="19" t="s">
        <v>293</v>
      </c>
    </row>
    <row r="79" spans="4:7" x14ac:dyDescent="0.25">
      <c r="D79" s="22" t="s">
        <v>477</v>
      </c>
      <c r="E79" s="16">
        <v>63</v>
      </c>
      <c r="F79" s="17" t="s">
        <v>294</v>
      </c>
      <c r="G79" s="19" t="s">
        <v>295</v>
      </c>
    </row>
    <row r="80" spans="4:7" x14ac:dyDescent="0.25">
      <c r="D80" s="22" t="s">
        <v>478</v>
      </c>
      <c r="E80" s="16">
        <v>64</v>
      </c>
      <c r="F80" s="17" t="s">
        <v>296</v>
      </c>
      <c r="G80" s="19" t="s">
        <v>297</v>
      </c>
    </row>
    <row r="81" spans="4:7" x14ac:dyDescent="0.25">
      <c r="D81" s="28" t="s">
        <v>479</v>
      </c>
      <c r="E81" s="16">
        <v>65</v>
      </c>
      <c r="F81" s="17" t="s">
        <v>298</v>
      </c>
      <c r="G81" s="19" t="s">
        <v>299</v>
      </c>
    </row>
    <row r="82" spans="4:7" x14ac:dyDescent="0.25">
      <c r="D82" s="28" t="s">
        <v>480</v>
      </c>
      <c r="E82" s="16">
        <v>66</v>
      </c>
      <c r="F82" s="17" t="s">
        <v>300</v>
      </c>
      <c r="G82" s="19" t="s">
        <v>301</v>
      </c>
    </row>
    <row r="83" spans="4:7" x14ac:dyDescent="0.25">
      <c r="D83" s="29" t="s">
        <v>481</v>
      </c>
      <c r="E83" s="16">
        <v>67</v>
      </c>
      <c r="F83" s="17" t="s">
        <v>302</v>
      </c>
      <c r="G83" s="19" t="s">
        <v>303</v>
      </c>
    </row>
    <row r="84" spans="4:7" x14ac:dyDescent="0.25">
      <c r="D84" s="22" t="s">
        <v>482</v>
      </c>
      <c r="E84" s="16">
        <v>68</v>
      </c>
      <c r="F84" s="17" t="s">
        <v>304</v>
      </c>
      <c r="G84" s="19" t="s">
        <v>305</v>
      </c>
    </row>
    <row r="85" spans="4:7" x14ac:dyDescent="0.25">
      <c r="D85" s="24" t="s">
        <v>483</v>
      </c>
      <c r="E85" s="16">
        <v>69</v>
      </c>
      <c r="F85" s="17" t="s">
        <v>306</v>
      </c>
      <c r="G85" s="19" t="s">
        <v>307</v>
      </c>
    </row>
    <row r="86" spans="4:7" x14ac:dyDescent="0.25">
      <c r="D86" s="22" t="s">
        <v>484</v>
      </c>
      <c r="E86" s="16">
        <v>70</v>
      </c>
      <c r="F86" s="17" t="s">
        <v>308</v>
      </c>
      <c r="G86" s="19" t="s">
        <v>309</v>
      </c>
    </row>
    <row r="87" spans="4:7" x14ac:dyDescent="0.25">
      <c r="D87" s="22" t="s">
        <v>485</v>
      </c>
      <c r="E87" s="16">
        <v>71</v>
      </c>
      <c r="F87" s="17" t="s">
        <v>310</v>
      </c>
      <c r="G87" s="19" t="s">
        <v>311</v>
      </c>
    </row>
    <row r="88" spans="4:7" x14ac:dyDescent="0.25">
      <c r="D88" s="22" t="s">
        <v>486</v>
      </c>
      <c r="E88" s="16">
        <v>72</v>
      </c>
      <c r="F88" s="17" t="s">
        <v>312</v>
      </c>
      <c r="G88" s="19" t="s">
        <v>313</v>
      </c>
    </row>
    <row r="89" spans="4:7" x14ac:dyDescent="0.25">
      <c r="D89" s="22" t="s">
        <v>487</v>
      </c>
      <c r="E89" s="16">
        <v>73</v>
      </c>
      <c r="F89" s="17" t="s">
        <v>314</v>
      </c>
      <c r="G89" s="19" t="s">
        <v>315</v>
      </c>
    </row>
    <row r="90" spans="4:7" x14ac:dyDescent="0.25">
      <c r="D90" s="22" t="s">
        <v>488</v>
      </c>
      <c r="E90" s="16">
        <v>74</v>
      </c>
      <c r="F90" s="17" t="s">
        <v>316</v>
      </c>
      <c r="G90" s="19" t="s">
        <v>317</v>
      </c>
    </row>
    <row r="91" spans="4:7" x14ac:dyDescent="0.25">
      <c r="D91" s="22" t="s">
        <v>489</v>
      </c>
      <c r="E91" s="16">
        <v>75</v>
      </c>
      <c r="F91" s="17" t="s">
        <v>318</v>
      </c>
      <c r="G91" s="19" t="s">
        <v>319</v>
      </c>
    </row>
    <row r="92" spans="4:7" x14ac:dyDescent="0.25">
      <c r="D92" s="22" t="s">
        <v>490</v>
      </c>
      <c r="E92" s="16">
        <v>76</v>
      </c>
      <c r="F92" s="17" t="s">
        <v>320</v>
      </c>
      <c r="G92" s="19" t="s">
        <v>321</v>
      </c>
    </row>
    <row r="93" spans="4:7" x14ac:dyDescent="0.25">
      <c r="D93" s="22" t="s">
        <v>491</v>
      </c>
      <c r="E93" s="16">
        <v>77</v>
      </c>
      <c r="F93" s="17" t="s">
        <v>322</v>
      </c>
      <c r="G93" s="19" t="s">
        <v>323</v>
      </c>
    </row>
    <row r="94" spans="4:7" x14ac:dyDescent="0.25">
      <c r="D94" s="22" t="s">
        <v>492</v>
      </c>
      <c r="E94" s="16">
        <v>78</v>
      </c>
      <c r="F94" s="17" t="s">
        <v>324</v>
      </c>
      <c r="G94" s="19" t="s">
        <v>325</v>
      </c>
    </row>
    <row r="95" spans="4:7" x14ac:dyDescent="0.25">
      <c r="D95" s="22" t="s">
        <v>493</v>
      </c>
      <c r="E95" s="16">
        <v>79</v>
      </c>
      <c r="F95" s="17" t="s">
        <v>326</v>
      </c>
      <c r="G95" s="19" t="s">
        <v>327</v>
      </c>
    </row>
    <row r="96" spans="4:7" x14ac:dyDescent="0.25">
      <c r="D96" s="22" t="s">
        <v>494</v>
      </c>
      <c r="E96" s="16">
        <v>80</v>
      </c>
      <c r="F96" s="17" t="s">
        <v>328</v>
      </c>
      <c r="G96" s="19" t="s">
        <v>329</v>
      </c>
    </row>
    <row r="97" spans="4:7" x14ac:dyDescent="0.25">
      <c r="D97" s="18" t="s">
        <v>495</v>
      </c>
      <c r="E97" s="16">
        <v>81</v>
      </c>
      <c r="F97" s="17" t="s">
        <v>330</v>
      </c>
      <c r="G97" s="26" t="s">
        <v>331</v>
      </c>
    </row>
    <row r="98" spans="4:7" x14ac:dyDescent="0.25">
      <c r="D98" s="15" t="s">
        <v>496</v>
      </c>
      <c r="E98" s="16">
        <v>82</v>
      </c>
      <c r="F98" s="17" t="s">
        <v>332</v>
      </c>
      <c r="G98" s="17" t="s">
        <v>333</v>
      </c>
    </row>
    <row r="99" spans="4:7" x14ac:dyDescent="0.25">
      <c r="D99" s="22" t="s">
        <v>497</v>
      </c>
      <c r="E99" s="16">
        <v>83</v>
      </c>
      <c r="F99" s="17" t="s">
        <v>334</v>
      </c>
      <c r="G99" s="19" t="s">
        <v>335</v>
      </c>
    </row>
    <row r="100" spans="4:7" x14ac:dyDescent="0.25">
      <c r="D100" s="22" t="s">
        <v>498</v>
      </c>
      <c r="E100" s="16">
        <v>84</v>
      </c>
      <c r="F100" s="17" t="s">
        <v>336</v>
      </c>
      <c r="G100" s="19" t="s">
        <v>337</v>
      </c>
    </row>
    <row r="101" spans="4:7" x14ac:dyDescent="0.25">
      <c r="D101" s="22" t="s">
        <v>499</v>
      </c>
      <c r="E101" s="16">
        <v>85</v>
      </c>
      <c r="F101" s="17" t="s">
        <v>338</v>
      </c>
      <c r="G101" s="19" t="s">
        <v>339</v>
      </c>
    </row>
    <row r="102" spans="4:7" x14ac:dyDescent="0.25">
      <c r="D102" s="22" t="s">
        <v>500</v>
      </c>
      <c r="E102" s="16">
        <v>86</v>
      </c>
      <c r="F102" s="17" t="s">
        <v>340</v>
      </c>
      <c r="G102" s="19" t="s">
        <v>341</v>
      </c>
    </row>
    <row r="103" spans="4:7" x14ac:dyDescent="0.25">
      <c r="D103" s="22" t="s">
        <v>501</v>
      </c>
      <c r="E103" s="16">
        <v>87</v>
      </c>
      <c r="F103" s="17" t="s">
        <v>342</v>
      </c>
      <c r="G103" s="19" t="s">
        <v>343</v>
      </c>
    </row>
    <row r="104" spans="4:7" x14ac:dyDescent="0.25">
      <c r="D104" s="22" t="s">
        <v>502</v>
      </c>
      <c r="E104" s="16">
        <v>88</v>
      </c>
      <c r="F104" s="17" t="s">
        <v>344</v>
      </c>
      <c r="G104" s="19" t="s">
        <v>345</v>
      </c>
    </row>
    <row r="105" spans="4:7" x14ac:dyDescent="0.25">
      <c r="D105" s="22" t="s">
        <v>503</v>
      </c>
      <c r="E105" s="16">
        <v>89</v>
      </c>
      <c r="F105" s="17" t="s">
        <v>346</v>
      </c>
      <c r="G105" s="19" t="s">
        <v>347</v>
      </c>
    </row>
    <row r="106" spans="4:7" x14ac:dyDescent="0.25">
      <c r="D106" s="22" t="s">
        <v>504</v>
      </c>
      <c r="E106" s="16">
        <v>90</v>
      </c>
      <c r="F106" s="17" t="s">
        <v>348</v>
      </c>
      <c r="G106" s="19" t="s">
        <v>349</v>
      </c>
    </row>
    <row r="107" spans="4:7" x14ac:dyDescent="0.25">
      <c r="D107" s="22" t="s">
        <v>505</v>
      </c>
      <c r="E107" s="16">
        <v>91</v>
      </c>
      <c r="F107" s="17" t="s">
        <v>350</v>
      </c>
      <c r="G107" s="19" t="s">
        <v>351</v>
      </c>
    </row>
    <row r="108" spans="4:7" x14ac:dyDescent="0.25">
      <c r="D108" s="18" t="s">
        <v>506</v>
      </c>
      <c r="E108" s="16">
        <v>92</v>
      </c>
      <c r="F108" s="17" t="s">
        <v>352</v>
      </c>
      <c r="G108" s="26" t="s">
        <v>353</v>
      </c>
    </row>
    <row r="109" spans="4:7" x14ac:dyDescent="0.25">
      <c r="D109" s="25" t="s">
        <v>507</v>
      </c>
      <c r="E109" s="16">
        <v>93</v>
      </c>
      <c r="F109" s="17" t="s">
        <v>354</v>
      </c>
      <c r="G109" s="26" t="s">
        <v>355</v>
      </c>
    </row>
    <row r="110" spans="4:7" x14ac:dyDescent="0.25">
      <c r="D110" s="23" t="s">
        <v>508</v>
      </c>
      <c r="E110" s="16">
        <v>94</v>
      </c>
      <c r="F110" s="17" t="s">
        <v>356</v>
      </c>
      <c r="G110" s="19" t="s">
        <v>357</v>
      </c>
    </row>
    <row r="111" spans="4:7" x14ac:dyDescent="0.25">
      <c r="D111" s="24" t="s">
        <v>509</v>
      </c>
      <c r="E111" s="16">
        <v>95</v>
      </c>
      <c r="F111" s="17" t="s">
        <v>358</v>
      </c>
      <c r="G111" s="19" t="s">
        <v>359</v>
      </c>
    </row>
    <row r="112" spans="4:7" x14ac:dyDescent="0.25">
      <c r="D112" s="30" t="s">
        <v>510</v>
      </c>
      <c r="E112" s="16">
        <v>96</v>
      </c>
      <c r="F112" s="17" t="s">
        <v>360</v>
      </c>
      <c r="G112" s="19" t="s">
        <v>361</v>
      </c>
    </row>
    <row r="113" spans="4:7" x14ac:dyDescent="0.25">
      <c r="D113" s="28" t="s">
        <v>511</v>
      </c>
      <c r="E113" s="16">
        <v>97</v>
      </c>
      <c r="F113" s="17" t="s">
        <v>362</v>
      </c>
      <c r="G113" s="19" t="s">
        <v>363</v>
      </c>
    </row>
    <row r="114" spans="4:7" x14ac:dyDescent="0.25">
      <c r="D114" s="30" t="s">
        <v>512</v>
      </c>
      <c r="E114" s="16">
        <v>98</v>
      </c>
      <c r="F114" s="17" t="s">
        <v>364</v>
      </c>
      <c r="G114" s="19" t="s">
        <v>365</v>
      </c>
    </row>
    <row r="115" spans="4:7" x14ac:dyDescent="0.25">
      <c r="D115" s="30" t="s">
        <v>513</v>
      </c>
      <c r="E115" s="16">
        <v>99</v>
      </c>
      <c r="F115" s="17" t="s">
        <v>366</v>
      </c>
      <c r="G115" s="19" t="s">
        <v>367</v>
      </c>
    </row>
    <row r="116" spans="4:7" x14ac:dyDescent="0.25">
      <c r="D116" s="28" t="s">
        <v>514</v>
      </c>
      <c r="E116" s="16">
        <v>100</v>
      </c>
      <c r="F116" s="17" t="s">
        <v>368</v>
      </c>
      <c r="G116" s="19" t="s">
        <v>369</v>
      </c>
    </row>
    <row r="117" spans="4:7" x14ac:dyDescent="0.25">
      <c r="D117" s="30" t="s">
        <v>515</v>
      </c>
      <c r="E117" s="16">
        <v>101</v>
      </c>
      <c r="F117" s="17" t="s">
        <v>370</v>
      </c>
      <c r="G117" s="19" t="s">
        <v>371</v>
      </c>
    </row>
    <row r="118" spans="4:7" x14ac:dyDescent="0.25">
      <c r="D118" s="24" t="s">
        <v>516</v>
      </c>
      <c r="E118" s="16">
        <v>102</v>
      </c>
      <c r="F118" s="17" t="s">
        <v>372</v>
      </c>
      <c r="G118" s="19" t="s">
        <v>373</v>
      </c>
    </row>
    <row r="119" spans="4:7" x14ac:dyDescent="0.25">
      <c r="D119" s="22" t="s">
        <v>517</v>
      </c>
      <c r="E119" s="16">
        <v>103</v>
      </c>
      <c r="F119" s="17" t="s">
        <v>374</v>
      </c>
      <c r="G119" s="19" t="s">
        <v>375</v>
      </c>
    </row>
    <row r="120" spans="4:7" x14ac:dyDescent="0.25">
      <c r="D120" s="22" t="s">
        <v>518</v>
      </c>
      <c r="E120" s="16">
        <v>104</v>
      </c>
      <c r="F120" s="17" t="s">
        <v>376</v>
      </c>
      <c r="G120" s="19" t="s">
        <v>377</v>
      </c>
    </row>
    <row r="121" spans="4:7" x14ac:dyDescent="0.25">
      <c r="D121" s="22" t="s">
        <v>519</v>
      </c>
      <c r="E121" s="16">
        <v>105</v>
      </c>
      <c r="F121" s="17" t="s">
        <v>378</v>
      </c>
      <c r="G121" s="19" t="s">
        <v>379</v>
      </c>
    </row>
    <row r="122" spans="4:7" x14ac:dyDescent="0.25">
      <c r="D122" s="22" t="s">
        <v>520</v>
      </c>
      <c r="E122" s="16">
        <v>106</v>
      </c>
      <c r="F122" s="17" t="s">
        <v>380</v>
      </c>
      <c r="G122" s="19" t="s">
        <v>381</v>
      </c>
    </row>
    <row r="123" spans="4:7" x14ac:dyDescent="0.25">
      <c r="D123" s="24" t="s">
        <v>521</v>
      </c>
      <c r="E123" s="16">
        <v>107</v>
      </c>
      <c r="F123" s="17" t="s">
        <v>382</v>
      </c>
      <c r="G123" s="19" t="s">
        <v>383</v>
      </c>
    </row>
    <row r="124" spans="4:7" x14ac:dyDescent="0.25">
      <c r="D124" s="22" t="s">
        <v>522</v>
      </c>
      <c r="E124" s="16">
        <v>108</v>
      </c>
      <c r="F124" s="17" t="s">
        <v>384</v>
      </c>
      <c r="G124" s="19" t="s">
        <v>385</v>
      </c>
    </row>
    <row r="125" spans="4:7" x14ac:dyDescent="0.25">
      <c r="D125" s="22" t="s">
        <v>523</v>
      </c>
      <c r="E125" s="16">
        <v>109</v>
      </c>
      <c r="F125" s="17" t="s">
        <v>386</v>
      </c>
      <c r="G125" s="19" t="s">
        <v>387</v>
      </c>
    </row>
    <row r="126" spans="4:7" x14ac:dyDescent="0.25">
      <c r="D126" s="24" t="s">
        <v>524</v>
      </c>
      <c r="E126" s="16">
        <v>110</v>
      </c>
      <c r="F126" s="17" t="s">
        <v>388</v>
      </c>
      <c r="G126" s="19" t="s">
        <v>389</v>
      </c>
    </row>
    <row r="127" spans="4:7" x14ac:dyDescent="0.25">
      <c r="D127" s="24" t="s">
        <v>525</v>
      </c>
      <c r="E127" s="16">
        <v>111</v>
      </c>
      <c r="F127" s="17" t="s">
        <v>390</v>
      </c>
      <c r="G127" s="19" t="s">
        <v>391</v>
      </c>
    </row>
    <row r="128" spans="4:7" x14ac:dyDescent="0.25">
      <c r="D128" s="24" t="s">
        <v>526</v>
      </c>
      <c r="E128" s="16">
        <v>112</v>
      </c>
      <c r="F128" s="17" t="s">
        <v>392</v>
      </c>
      <c r="G128" s="19" t="s">
        <v>393</v>
      </c>
    </row>
    <row r="129" spans="4:7" x14ac:dyDescent="0.25">
      <c r="D129" s="24" t="s">
        <v>527</v>
      </c>
      <c r="E129" s="16">
        <v>113</v>
      </c>
      <c r="F129" s="17" t="s">
        <v>394</v>
      </c>
      <c r="G129" s="19" t="s">
        <v>395</v>
      </c>
    </row>
    <row r="130" spans="4:7" x14ac:dyDescent="0.25">
      <c r="D130" s="24" t="s">
        <v>528</v>
      </c>
      <c r="E130" s="16">
        <v>114</v>
      </c>
      <c r="F130" s="17" t="s">
        <v>396</v>
      </c>
      <c r="G130" s="19" t="s">
        <v>397</v>
      </c>
    </row>
    <row r="131" spans="4:7" x14ac:dyDescent="0.25">
      <c r="D131" s="22" t="s">
        <v>529</v>
      </c>
      <c r="E131" s="16">
        <v>115</v>
      </c>
      <c r="F131" s="17" t="s">
        <v>398</v>
      </c>
      <c r="G131" s="19" t="s">
        <v>399</v>
      </c>
    </row>
    <row r="132" spans="4:7" x14ac:dyDescent="0.25">
      <c r="D132" s="22" t="s">
        <v>530</v>
      </c>
      <c r="E132" s="16">
        <v>116</v>
      </c>
      <c r="F132" s="17" t="s">
        <v>400</v>
      </c>
      <c r="G132" s="19" t="s">
        <v>401</v>
      </c>
    </row>
    <row r="133" spans="4:7" x14ac:dyDescent="0.25">
      <c r="D133" s="18" t="s">
        <v>531</v>
      </c>
      <c r="E133" s="16">
        <v>117</v>
      </c>
      <c r="F133" s="17" t="s">
        <v>402</v>
      </c>
      <c r="G133" s="26" t="s">
        <v>403</v>
      </c>
    </row>
    <row r="134" spans="4:7" x14ac:dyDescent="0.25">
      <c r="D134" s="18" t="s">
        <v>532</v>
      </c>
      <c r="E134" s="16">
        <v>118</v>
      </c>
      <c r="F134" s="17" t="s">
        <v>404</v>
      </c>
      <c r="G134" s="19" t="s">
        <v>405</v>
      </c>
    </row>
    <row r="135" spans="4:7" x14ac:dyDescent="0.25">
      <c r="D135" s="25" t="s">
        <v>533</v>
      </c>
      <c r="E135" s="16">
        <v>119</v>
      </c>
      <c r="F135" s="17" t="s">
        <v>406</v>
      </c>
      <c r="G135" s="26" t="s">
        <v>407</v>
      </c>
    </row>
    <row r="136" spans="4:7" x14ac:dyDescent="0.25">
      <c r="D136" s="27" t="s">
        <v>534</v>
      </c>
      <c r="E136" s="16">
        <v>120</v>
      </c>
      <c r="F136" s="17" t="s">
        <v>408</v>
      </c>
      <c r="G136" s="26" t="s">
        <v>409</v>
      </c>
    </row>
    <row r="137" spans="4:7" x14ac:dyDescent="0.25">
      <c r="D137" s="15" t="s">
        <v>535</v>
      </c>
      <c r="E137" s="16">
        <v>121</v>
      </c>
      <c r="F137" s="19"/>
      <c r="G137" s="19"/>
    </row>
  </sheetData>
  <mergeCells count="6">
    <mergeCell ref="B7:C7"/>
    <mergeCell ref="F2:G2"/>
    <mergeCell ref="D3:E3"/>
    <mergeCell ref="D4:E4"/>
    <mergeCell ref="D5:E5"/>
    <mergeCell ref="D6:E6"/>
  </mergeCells>
  <phoneticPr fontId="2" type="noConversion"/>
  <conditionalFormatting sqref="G86">
    <cfRule type="expression" dxfId="5" priority="2">
      <formula>$G$86=$G$86</formula>
    </cfRule>
    <cfRule type="expression" dxfId="4" priority="1">
      <formula>$G$86&lt;&gt;$G$86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BPC_DATA</vt:lpstr>
      <vt:lpstr>ORACLE_DATA</vt:lpstr>
      <vt:lpstr>ANALYSIS</vt:lpstr>
      <vt:lpstr>RELATION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doubide</dc:creator>
  <cp:lastModifiedBy>zhy</cp:lastModifiedBy>
  <dcterms:created xsi:type="dcterms:W3CDTF">2019-08-02T09:18:28Z</dcterms:created>
  <dcterms:modified xsi:type="dcterms:W3CDTF">2023-02-23T06:55:56Z</dcterms:modified>
</cp:coreProperties>
</file>